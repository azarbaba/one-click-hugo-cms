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30f7c5eb28e35ae/"/>
    </mc:Choice>
  </mc:AlternateContent>
  <xr:revisionPtr revIDLastSave="644" documentId="11_0B1D56BE9CDCCE836B02CE7A5FB0D4A9BBFD1C62" xr6:coauthVersionLast="47" xr6:coauthVersionMax="47" xr10:uidLastSave="{7443803E-8BEA-4A35-9D9B-379EF1517FA9}"/>
  <bookViews>
    <workbookView xWindow="-108" yWindow="-108" windowWidth="23256" windowHeight="12456" firstSheet="10" activeTab="10" xr2:uid="{00000000-000D-0000-FFFF-FFFF00000000}"/>
  </bookViews>
  <sheets>
    <sheet name="Cover Page" sheetId="13" r:id="rId1"/>
    <sheet name="Sheet2" sheetId="1" r:id="rId2"/>
    <sheet name="EDA" sheetId="2" r:id="rId3"/>
    <sheet name="Sheet3" sheetId="3" r:id="rId4"/>
    <sheet name="Sheet4" sheetId="4" r:id="rId5"/>
    <sheet name="Sheet5" sheetId="5" r:id="rId6"/>
    <sheet name="Sheet6" sheetId="6" r:id="rId7"/>
    <sheet name="Feature Engineering" sheetId="7" r:id="rId8"/>
    <sheet name="Sheet8" sheetId="8" r:id="rId9"/>
    <sheet name="Sheet9" sheetId="9" r:id="rId10"/>
    <sheet name="Sheet10" sheetId="10" r:id="rId11"/>
    <sheet name="Model_Data" sheetId="11" r:id="rId12"/>
    <sheet name="Risk_Prediction" sheetId="12" r:id="rId13"/>
  </sheets>
  <calcPr calcId="191028"/>
  <pivotCaches>
    <pivotCache cacheId="42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1" l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3" i="10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3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3" i="8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</calcChain>
</file>

<file path=xl/sharedStrings.xml><?xml version="1.0" encoding="utf-8"?>
<sst xmlns="http://schemas.openxmlformats.org/spreadsheetml/2006/main" count="270" uniqueCount="82">
  <si>
    <r>
      <rPr>
        <b/>
        <sz val="20"/>
        <color rgb="FF00B050"/>
        <rFont val="Aptos Narrow"/>
      </rPr>
      <t xml:space="preserve">MAJOR PROJECT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8"/>
        <color rgb="FF000000"/>
        <rFont val="Aptos Narrow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20"/>
        <color rgb="FF00B050"/>
        <rFont val="Aptos Narrow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6"/>
        <color rgb="FF000000"/>
        <rFont val="Aptos Narrow"/>
      </rPr>
      <t xml:space="preserve">      </t>
    </r>
    <r>
      <rPr>
        <sz val="20"/>
        <color rgb="FF00B050"/>
        <rFont val="Aptos Narrow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6"/>
        <color rgb="FF000000"/>
        <rFont val="Aptos Narrow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0"/>
        <color rgb="FF00B050"/>
        <rFont val="Aptos Narrow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6"/>
        <color rgb="FF000000"/>
        <rFont val="Aptos Narrow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</si>
  <si>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HR ANALYTICS: EMPLOYEE ATTRITION PREDICTION</t>
  </si>
  <si>
    <t>DOMAIN:Human Resources Analytics</t>
  </si>
  <si>
    <r>
      <t>Techniques</t>
    </r>
    <r>
      <rPr>
        <b/>
        <sz val="16"/>
        <color rgb="FF000000"/>
        <rFont val="Aptos Narrow"/>
        <charset val="1"/>
      </rPr>
      <t xml:space="preserve"> Used: ML,EDA,Visualization Tools</t>
    </r>
  </si>
  <si>
    <t>Tools Used: Excel,Power BI,Python</t>
  </si>
  <si>
    <t>Submitted by: SHAIK NAGA AZAR BABA</t>
  </si>
  <si>
    <t>EmployeeID</t>
  </si>
  <si>
    <t>Age</t>
  </si>
  <si>
    <t>Gender</t>
  </si>
  <si>
    <t>Department</t>
  </si>
  <si>
    <t>JobRole</t>
  </si>
  <si>
    <t>MonthlyIncome</t>
  </si>
  <si>
    <t>YearsAtCompany</t>
  </si>
  <si>
    <t>YearsInCurrentRole</t>
  </si>
  <si>
    <t>JobSatisfaction</t>
  </si>
  <si>
    <t>WorkLifeBalance</t>
  </si>
  <si>
    <t>PerformanceRating</t>
  </si>
  <si>
    <t>Overtime</t>
  </si>
  <si>
    <t>Attrition</t>
  </si>
  <si>
    <t>Female</t>
  </si>
  <si>
    <t>Operations</t>
  </si>
  <si>
    <t>Clerk</t>
  </si>
  <si>
    <t>No</t>
  </si>
  <si>
    <t>IT</t>
  </si>
  <si>
    <t>Manager</t>
  </si>
  <si>
    <t>Male</t>
  </si>
  <si>
    <t>Finance</t>
  </si>
  <si>
    <t>Yes</t>
  </si>
  <si>
    <t>Analyst</t>
  </si>
  <si>
    <t>Sales</t>
  </si>
  <si>
    <t>Engineer</t>
  </si>
  <si>
    <t>Executive</t>
  </si>
  <si>
    <t>Count of Attrition</t>
  </si>
  <si>
    <t>Grand Total</t>
  </si>
  <si>
    <t>📊 Table 1: Attrition by Department</t>
  </si>
  <si>
    <t>Key Insights</t>
  </si>
  <si>
    <t>Sales and IT departments experience significantly higher attrition.</t>
  </si>
  <si>
    <t>HR and Finance show greater stability and lower turnover.</t>
  </si>
  <si>
    <t>Customer-facing and technical roles face higher pressure and workload.</t>
  </si>
  <si>
    <t>Business Impact</t>
  </si>
  <si>
    <t>Introduce department-specific retention strategies for Sales and IT.</t>
  </si>
  <si>
    <t>Review workload, targets, and team size in high-attrition departments.</t>
  </si>
  <si>
    <t>Table 2: Attrition vs Overtime</t>
  </si>
  <si>
    <t>Employees working overtime leave nearly 2× more than those who do not.</t>
  </si>
  <si>
    <t>Overtime is one of the strongest predictors of attrition.</t>
  </si>
  <si>
    <t>Indicates burnout and work stress.</t>
  </si>
  <si>
    <t>Limit excessive overtime.</t>
  </si>
  <si>
    <t>Introduce shift rotation, workload balancing, and flexible hours.</t>
  </si>
  <si>
    <t>Table 3: Attrition vs Job Satisfaction</t>
  </si>
  <si>
    <t>Employees with low job satisfaction (levels 1–2) show very high attrition.</t>
  </si>
  <si>
    <t>Attrition drops sharply at satisfaction levels 3–4.</t>
  </si>
  <si>
    <t>Job satisfaction has a strong inverse relationship with attrition.</t>
  </si>
  <si>
    <t>Improve employee engagement, recognition, and career growth.</t>
  </si>
  <si>
    <t>Regular satisfaction surveys can help predict resignations early.</t>
  </si>
  <si>
    <t>Table 4: Attrition vs Work-Life Balance</t>
  </si>
  <si>
    <t>Poor work-life balance is strongly linked to high attrition.</t>
  </si>
  <si>
    <t>Employees with good or excellent balance are significantly more stable.</t>
  </si>
  <si>
    <t>Well-being factors outweigh demographic factors.</t>
  </si>
  <si>
    <t>Promote remote work, flexible schedules, and wellness programs.</t>
  </si>
  <si>
    <t>Work-life balance improvements can drastically reduce turnover.</t>
  </si>
  <si>
    <t>Table 5: Attrition vs Performance Rating</t>
  </si>
  <si>
    <t>Performance rating shows weak correlation with attrition.</t>
  </si>
  <si>
    <t>Even high performers leave if stressed or underpaid.</t>
  </si>
  <si>
    <t>Attrition is driven more by work environment than performance.</t>
  </si>
  <si>
    <t>Retention policies should not focus only on top performers.</t>
  </si>
  <si>
    <t>Support systems are equally important for high-performing employees.</t>
  </si>
  <si>
    <t>Target  Encoding</t>
  </si>
  <si>
    <t>Attrition_Encoded</t>
  </si>
  <si>
    <t>Annual Income Calculation</t>
  </si>
  <si>
    <t>AnnualIncome</t>
  </si>
  <si>
    <t>Tenure Group Calculation</t>
  </si>
  <si>
    <t>TenureGroup</t>
  </si>
  <si>
    <t>Role Stability Ratio</t>
  </si>
  <si>
    <t>Role Stability</t>
  </si>
  <si>
    <t>Overtime_Encoded</t>
  </si>
  <si>
    <t>Attrition_Encode</t>
  </si>
  <si>
    <t>Dept_IT</t>
  </si>
  <si>
    <t>Attrition_Probability</t>
  </si>
  <si>
    <t>Risk_Level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</si>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</sst>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FF0000"/>
      <name val="Aptos Narrow"/>
      <scheme val="minor"/>
    </font>
    <font>
      <b/>
      <sz val="18"/>
      <color rgb="FFFF0000"/>
      <name val="Aptos Narrow"/>
      <scheme val="minor"/>
    </font>
    <font>
      <b/>
      <sz val="12"/>
      <color rgb="FFFF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C00000"/>
      <name val="Aptos Narrow"/>
      <scheme val="minor"/>
    </font>
    <font>
      <sz val="12"/>
      <color theme="1"/>
      <name val="Aptos Narrow"/>
      <family val="2"/>
      <scheme val="minor"/>
    </font>
    <font>
      <b/>
      <sz val="20"/>
      <color rgb="FF00B050"/>
      <name val="Aptos Narrow"/>
    </font>
    <font>
      <sz val="16"/>
      <color rgb="FF000000"/>
      <name val="Aptos Narrow"/>
    </font>
    <font>
      <b/>
      <sz val="18"/>
      <color rgb="FF000000"/>
      <name val="Aptos Narrow"/>
    </font>
    <font>
      <sz val="20"/>
      <color rgb="FF00B050"/>
      <name val="Aptos Narrow"/>
    </font>
    <font>
      <b/>
      <sz val="16"/>
      <color rgb="FF000000"/>
      <name val="Aptos Narrow"/>
      <charset val="1"/>
    </font>
    <font>
      <b/>
      <sz val="18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5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Analytics.xlsx]EDA!PivotTable1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EDA!$A$5:$A$9</c:f>
              <c:strCache>
                <c:ptCount val="4"/>
                <c:pt idx="0">
                  <c:v>Finance</c:v>
                </c:pt>
                <c:pt idx="1">
                  <c:v>IT</c:v>
                </c:pt>
                <c:pt idx="2">
                  <c:v>Operations</c:v>
                </c:pt>
                <c:pt idx="3">
                  <c:v>Sales</c:v>
                </c:pt>
              </c:strCache>
            </c:strRef>
          </c:cat>
          <c:val>
            <c:numRef>
              <c:f>EDA!$B$5:$B$9</c:f>
              <c:numCache>
                <c:formatCode>0.00%</c:formatCode>
                <c:ptCount val="4"/>
                <c:pt idx="0">
                  <c:v>0.8</c:v>
                </c:pt>
                <c:pt idx="1">
                  <c:v>0.88888888888888884</c:v>
                </c:pt>
                <c:pt idx="2">
                  <c:v>1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D-4BA4-99F2-7EBE01C44FB0}"/>
            </c:ext>
          </c:extLst>
        </c:ser>
        <c:ser>
          <c:idx val="1"/>
          <c:order val="1"/>
          <c:tx>
            <c:strRef>
              <c:f>EDA!$C$3:$C$4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EDA!$A$5:$A$9</c:f>
              <c:strCache>
                <c:ptCount val="4"/>
                <c:pt idx="0">
                  <c:v>Finance</c:v>
                </c:pt>
                <c:pt idx="1">
                  <c:v>IT</c:v>
                </c:pt>
                <c:pt idx="2">
                  <c:v>Operations</c:v>
                </c:pt>
                <c:pt idx="3">
                  <c:v>Sales</c:v>
                </c:pt>
              </c:strCache>
            </c:strRef>
          </c:cat>
          <c:val>
            <c:numRef>
              <c:f>EDA!$C$5:$C$9</c:f>
              <c:numCache>
                <c:formatCode>0.00%</c:formatCode>
                <c:ptCount val="4"/>
                <c:pt idx="0">
                  <c:v>0.2</c:v>
                </c:pt>
                <c:pt idx="1">
                  <c:v>0.1111111111111111</c:v>
                </c:pt>
                <c:pt idx="2">
                  <c:v>0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FD-4BA4-99F2-7EBE01C44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42440"/>
        <c:axId val="183444488"/>
      </c:barChart>
      <c:catAx>
        <c:axId val="183442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layout>
            <c:manualLayout>
              <c:xMode val="edge"/>
              <c:yMode val="edge"/>
              <c:x val="0.41999901858760652"/>
              <c:y val="0.8202320542073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4488"/>
        <c:crosses val="autoZero"/>
        <c:auto val="1"/>
        <c:lblAlgn val="ctr"/>
        <c:lblOffset val="100"/>
        <c:noMultiLvlLbl val="0"/>
      </c:catAx>
      <c:valAx>
        <c:axId val="18344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vs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Sheet3!$B$5:$B$7</c:f>
              <c:numCache>
                <c:formatCode>0.00%</c:formatCode>
                <c:ptCount val="2"/>
                <c:pt idx="0">
                  <c:v>0.9285714285714286</c:v>
                </c:pt>
                <c:pt idx="1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4-4322-AEE3-49120F730610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Sheet3!$C$5:$C$7</c:f>
              <c:numCache>
                <c:formatCode>0.00%</c:formatCode>
                <c:ptCount val="2"/>
                <c:pt idx="0">
                  <c:v>7.1428571428571425E-2</c:v>
                </c:pt>
                <c:pt idx="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34-4322-AEE3-49120F730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883208"/>
        <c:axId val="1392885256"/>
      </c:barChart>
      <c:catAx>
        <c:axId val="1392883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Overtime</a:t>
                </a:r>
              </a:p>
            </c:rich>
          </c:tx>
          <c:layout>
            <c:manualLayout>
              <c:xMode val="edge"/>
              <c:yMode val="edge"/>
              <c:x val="0.44725571222046651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885256"/>
        <c:crosses val="autoZero"/>
        <c:auto val="1"/>
        <c:lblAlgn val="ctr"/>
        <c:lblOffset val="100"/>
        <c:noMultiLvlLbl val="0"/>
      </c:catAx>
      <c:valAx>
        <c:axId val="139288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88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Satisfaction vs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Sheet4!$A$5:$A$9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Sheet4!$B$5:$B$9</c:f>
              <c:numCache>
                <c:formatCode>0.00%</c:formatCode>
                <c:ptCount val="4"/>
                <c:pt idx="0">
                  <c:v>0</c:v>
                </c:pt>
                <c:pt idx="1">
                  <c:v>0.6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2-411D-B831-315012C112A6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Sheet4!$A$5:$A$9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Sheet4!$C$5:$C$9</c:f>
              <c:numCache>
                <c:formatCode>0.00%</c:formatCode>
                <c:ptCount val="4"/>
                <c:pt idx="0">
                  <c:v>1</c:v>
                </c:pt>
                <c:pt idx="1">
                  <c:v>0.4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82-411D-B831-315012C11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101064"/>
        <c:axId val="119342599"/>
      </c:barChart>
      <c:catAx>
        <c:axId val="669101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Satisfaction (1-4)</a:t>
                </a:r>
              </a:p>
            </c:rich>
          </c:tx>
          <c:layout>
            <c:manualLayout>
              <c:xMode val="edge"/>
              <c:yMode val="edge"/>
              <c:x val="0.43494166592853639"/>
              <c:y val="0.805300627520462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42599"/>
        <c:crosses val="autoZero"/>
        <c:auto val="1"/>
        <c:lblAlgn val="ctr"/>
        <c:lblOffset val="100"/>
        <c:noMultiLvlLbl val="0"/>
      </c:catAx>
      <c:valAx>
        <c:axId val="119342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0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Work-Life Balance vs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Sheet5!$B$5:$B$9</c:f>
              <c:numCache>
                <c:formatCode>0.00%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0.91666666666666663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1-4BCE-A7FA-2210137ECC72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Sheet5!$C$5:$C$9</c:f>
              <c:numCache>
                <c:formatCode>0.00%</c:formatCode>
                <c:ptCount val="4"/>
                <c:pt idx="0">
                  <c:v>0</c:v>
                </c:pt>
                <c:pt idx="1">
                  <c:v>0.5</c:v>
                </c:pt>
                <c:pt idx="2">
                  <c:v>8.3333333333333329E-2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C1-4BCE-A7FA-2210137EC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962696"/>
        <c:axId val="1822964744"/>
      </c:barChart>
      <c:catAx>
        <c:axId val="1822962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Work-Life Balance (1-4)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64744"/>
        <c:crosses val="autoZero"/>
        <c:auto val="1"/>
        <c:lblAlgn val="ctr"/>
        <c:lblOffset val="100"/>
        <c:noMultiLvlLbl val="0"/>
      </c:catAx>
      <c:valAx>
        <c:axId val="182296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6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Analytics.xlsx]Sheet6!PivotTable4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rating vs Attrition</a:t>
            </a:r>
          </a:p>
        </c:rich>
      </c:tx>
      <c:layout>
        <c:manualLayout>
          <c:xMode val="edge"/>
          <c:yMode val="edge"/>
          <c:x val="0.25792413358372296"/>
          <c:y val="2.6586084279408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Sheet6!$A$5:$A$7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Sheet6!$B$5:$B$7</c:f>
              <c:numCache>
                <c:formatCode>0.00%</c:formatCode>
                <c:ptCount val="2"/>
                <c:pt idx="0">
                  <c:v>0.875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8-412F-8355-4F958CBBDFBA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Sheet6!$A$5:$A$7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Sheet6!$C$5:$C$7</c:f>
              <c:numCache>
                <c:formatCode>0.00%</c:formatCode>
                <c:ptCount val="2"/>
                <c:pt idx="0">
                  <c:v>0.125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E8-412F-8355-4F958CBBD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173768"/>
        <c:axId val="7874055"/>
      </c:barChart>
      <c:catAx>
        <c:axId val="1837173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 rating(3-4)</a:t>
                </a:r>
              </a:p>
            </c:rich>
          </c:tx>
          <c:layout>
            <c:manualLayout>
              <c:xMode val="edge"/>
              <c:yMode val="edge"/>
              <c:x val="0.38414462654067044"/>
              <c:y val="0.775554890058311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055"/>
        <c:crosses val="autoZero"/>
        <c:auto val="1"/>
        <c:lblAlgn val="ctr"/>
        <c:lblOffset val="100"/>
        <c:noMultiLvlLbl val="0"/>
      </c:catAx>
      <c:valAx>
        <c:axId val="7874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17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</xdr:row>
      <xdr:rowOff>66675</xdr:rowOff>
    </xdr:from>
    <xdr:to>
      <xdr:col>21</xdr:col>
      <xdr:colOff>342900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EE992-3F7A-B662-EE0F-9CFA7E0BB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3</xdr:row>
      <xdr:rowOff>47625</xdr:rowOff>
    </xdr:from>
    <xdr:to>
      <xdr:col>13</xdr:col>
      <xdr:colOff>342900</xdr:colOff>
      <xdr:row>19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B74201-EF96-4DED-2602-819B7CF7B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2</xdr:row>
      <xdr:rowOff>85725</xdr:rowOff>
    </xdr:from>
    <xdr:to>
      <xdr:col>16</xdr:col>
      <xdr:colOff>314325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AD5AE-DE41-7073-7946-F299439C2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2</xdr:row>
      <xdr:rowOff>104775</xdr:rowOff>
    </xdr:from>
    <xdr:to>
      <xdr:col>13</xdr:col>
      <xdr:colOff>495300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779FA-33DD-A3EF-B5DC-5A07B4D44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1</xdr:row>
      <xdr:rowOff>66675</xdr:rowOff>
    </xdr:from>
    <xdr:to>
      <xdr:col>12</xdr:col>
      <xdr:colOff>533400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084E4-4483-C424-9DE8-6EDC04FC5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1.422110416665" createdVersion="8" refreshedVersion="8" minRefreshableVersion="3" recordCount="20" xr:uid="{2CF181A4-2127-460E-A42A-E8F76A6FD3EA}">
  <cacheSource type="worksheet">
    <worksheetSource ref="A1:M21" sheet="Sheet2"/>
  </cacheSource>
  <cacheFields count="13">
    <cacheField name="EmployeeID" numFmtId="0">
      <sharedItems containsSemiMixedTypes="0" containsString="0" containsNumber="1" containsInteger="1" minValue="1001" maxValue="1020" count="2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</sharedItems>
    </cacheField>
    <cacheField name="Age" numFmtId="0">
      <sharedItems containsSemiMixedTypes="0" containsString="0" containsNumber="1" containsInteger="1" minValue="22" maxValue="59" count="17">
        <n v="58"/>
        <n v="48"/>
        <n v="34"/>
        <n v="27"/>
        <n v="40"/>
        <n v="38"/>
        <n v="42"/>
        <n v="30"/>
        <n v="43"/>
        <n v="55"/>
        <n v="59"/>
        <n v="22"/>
        <n v="45"/>
        <n v="28"/>
        <n v="36"/>
        <n v="41"/>
        <n v="33"/>
      </sharedItems>
    </cacheField>
    <cacheField name="Gender" numFmtId="0">
      <sharedItems/>
    </cacheField>
    <cacheField name="Department" numFmtId="0">
      <sharedItems count="4">
        <s v="Operations"/>
        <s v="IT"/>
        <s v="Finance"/>
        <s v="Sales"/>
      </sharedItems>
    </cacheField>
    <cacheField name="JobRole" numFmtId="0">
      <sharedItems/>
    </cacheField>
    <cacheField name="MonthlyIncome" numFmtId="0">
      <sharedItems containsSemiMixedTypes="0" containsString="0" containsNumber="1" containsInteger="1" minValue="16813" maxValue="118061" count="20">
        <n v="77260"/>
        <n v="30438"/>
        <n v="63442"/>
        <n v="118061"/>
        <n v="17994"/>
        <n v="114575"/>
        <n v="16813"/>
        <n v="108027"/>
        <n v="99381"/>
        <n v="70276"/>
        <n v="56243"/>
        <n v="77912"/>
        <n v="75272"/>
        <n v="117700"/>
        <n v="57051"/>
        <n v="84711"/>
        <n v="28543"/>
        <n v="69412"/>
        <n v="45122"/>
        <n v="38991"/>
      </sharedItems>
    </cacheField>
    <cacheField name="YearsAtCompany" numFmtId="0">
      <sharedItems containsSemiMixedTypes="0" containsString="0" containsNumber="1" containsInteger="1" minValue="0" maxValue="24"/>
    </cacheField>
    <cacheField name="YearsInCurrentRole" numFmtId="0">
      <sharedItems containsSemiMixedTypes="0" containsString="0" containsNumber="1" containsInteger="1" minValue="0" maxValue="11"/>
    </cacheField>
    <cacheField name="Job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WorkLifeBalance" numFmtId="0">
      <sharedItems containsSemiMixedTypes="0" containsString="0" containsNumber="1" containsInteger="1" minValue="1" maxValue="4" count="4">
        <n v="4"/>
        <n v="1"/>
        <n v="3"/>
        <n v="2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Overtime" numFmtId="0">
      <sharedItems count="2">
        <s v="No"/>
        <s v="Yes"/>
      </sharedItems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Female"/>
    <x v="0"/>
    <s v="Clerk"/>
    <x v="0"/>
    <n v="16"/>
    <n v="1"/>
    <x v="0"/>
    <x v="0"/>
    <x v="0"/>
    <x v="0"/>
    <x v="0"/>
  </r>
  <r>
    <x v="1"/>
    <x v="1"/>
    <s v="Female"/>
    <x v="1"/>
    <s v="Manager"/>
    <x v="1"/>
    <n v="20"/>
    <n v="11"/>
    <x v="1"/>
    <x v="1"/>
    <x v="1"/>
    <x v="0"/>
    <x v="0"/>
  </r>
  <r>
    <x v="2"/>
    <x v="2"/>
    <s v="Male"/>
    <x v="2"/>
    <s v="Manager"/>
    <x v="2"/>
    <n v="18"/>
    <n v="5"/>
    <x v="1"/>
    <x v="2"/>
    <x v="0"/>
    <x v="0"/>
    <x v="0"/>
  </r>
  <r>
    <x v="3"/>
    <x v="3"/>
    <s v="Female"/>
    <x v="1"/>
    <s v="Manager"/>
    <x v="3"/>
    <n v="1"/>
    <n v="4"/>
    <x v="1"/>
    <x v="0"/>
    <x v="0"/>
    <x v="0"/>
    <x v="0"/>
  </r>
  <r>
    <x v="4"/>
    <x v="4"/>
    <s v="Male"/>
    <x v="1"/>
    <s v="Clerk"/>
    <x v="4"/>
    <n v="7"/>
    <n v="9"/>
    <x v="0"/>
    <x v="0"/>
    <x v="1"/>
    <x v="1"/>
    <x v="1"/>
  </r>
  <r>
    <x v="5"/>
    <x v="0"/>
    <s v="Male"/>
    <x v="2"/>
    <s v="Analyst"/>
    <x v="5"/>
    <n v="9"/>
    <n v="6"/>
    <x v="2"/>
    <x v="2"/>
    <x v="0"/>
    <x v="1"/>
    <x v="0"/>
  </r>
  <r>
    <x v="6"/>
    <x v="5"/>
    <s v="Male"/>
    <x v="1"/>
    <s v="Analyst"/>
    <x v="6"/>
    <n v="3"/>
    <n v="5"/>
    <x v="0"/>
    <x v="2"/>
    <x v="0"/>
    <x v="0"/>
    <x v="0"/>
  </r>
  <r>
    <x v="7"/>
    <x v="6"/>
    <s v="Female"/>
    <x v="1"/>
    <s v="Manager"/>
    <x v="7"/>
    <n v="11"/>
    <n v="7"/>
    <x v="2"/>
    <x v="2"/>
    <x v="0"/>
    <x v="1"/>
    <x v="0"/>
  </r>
  <r>
    <x v="8"/>
    <x v="7"/>
    <s v="Male"/>
    <x v="2"/>
    <s v="Clerk"/>
    <x v="8"/>
    <n v="10"/>
    <n v="2"/>
    <x v="1"/>
    <x v="2"/>
    <x v="0"/>
    <x v="0"/>
    <x v="0"/>
  </r>
  <r>
    <x v="9"/>
    <x v="7"/>
    <s v="Male"/>
    <x v="1"/>
    <s v="Analyst"/>
    <x v="9"/>
    <n v="6"/>
    <n v="3"/>
    <x v="1"/>
    <x v="2"/>
    <x v="0"/>
    <x v="1"/>
    <x v="0"/>
  </r>
  <r>
    <x v="10"/>
    <x v="8"/>
    <s v="Female"/>
    <x v="3"/>
    <s v="Analyst"/>
    <x v="10"/>
    <n v="12"/>
    <n v="4"/>
    <x v="1"/>
    <x v="2"/>
    <x v="0"/>
    <x v="0"/>
    <x v="0"/>
  </r>
  <r>
    <x v="11"/>
    <x v="9"/>
    <s v="Female"/>
    <x v="3"/>
    <s v="Analyst"/>
    <x v="11"/>
    <n v="21"/>
    <n v="6"/>
    <x v="2"/>
    <x v="0"/>
    <x v="1"/>
    <x v="0"/>
    <x v="0"/>
  </r>
  <r>
    <x v="12"/>
    <x v="10"/>
    <s v="Female"/>
    <x v="1"/>
    <s v="Clerk"/>
    <x v="12"/>
    <n v="24"/>
    <n v="3"/>
    <x v="1"/>
    <x v="2"/>
    <x v="0"/>
    <x v="0"/>
    <x v="0"/>
  </r>
  <r>
    <x v="13"/>
    <x v="8"/>
    <s v="Female"/>
    <x v="2"/>
    <s v="Clerk"/>
    <x v="13"/>
    <n v="15"/>
    <n v="5"/>
    <x v="2"/>
    <x v="2"/>
    <x v="0"/>
    <x v="0"/>
    <x v="0"/>
  </r>
  <r>
    <x v="14"/>
    <x v="11"/>
    <s v="Male"/>
    <x v="1"/>
    <s v="Manager"/>
    <x v="14"/>
    <n v="0"/>
    <n v="0"/>
    <x v="0"/>
    <x v="3"/>
    <x v="0"/>
    <x v="1"/>
    <x v="0"/>
  </r>
  <r>
    <x v="15"/>
    <x v="12"/>
    <s v="Male"/>
    <x v="0"/>
    <s v="Engineer"/>
    <x v="15"/>
    <n v="19"/>
    <n v="8"/>
    <x v="2"/>
    <x v="0"/>
    <x v="1"/>
    <x v="0"/>
    <x v="0"/>
  </r>
  <r>
    <x v="16"/>
    <x v="13"/>
    <s v="Female"/>
    <x v="3"/>
    <s v="Executive"/>
    <x v="16"/>
    <n v="1"/>
    <n v="1"/>
    <x v="3"/>
    <x v="3"/>
    <x v="0"/>
    <x v="1"/>
    <x v="1"/>
  </r>
  <r>
    <x v="17"/>
    <x v="14"/>
    <s v="Male"/>
    <x v="1"/>
    <s v="Engineer"/>
    <x v="17"/>
    <n v="7"/>
    <n v="3"/>
    <x v="1"/>
    <x v="2"/>
    <x v="0"/>
    <x v="0"/>
    <x v="0"/>
  </r>
  <r>
    <x v="18"/>
    <x v="15"/>
    <s v="Female"/>
    <x v="2"/>
    <s v="Analyst"/>
    <x v="18"/>
    <n v="14"/>
    <n v="6"/>
    <x v="0"/>
    <x v="2"/>
    <x v="0"/>
    <x v="0"/>
    <x v="1"/>
  </r>
  <r>
    <x v="19"/>
    <x v="16"/>
    <s v="Male"/>
    <x v="0"/>
    <s v="Clerk"/>
    <x v="19"/>
    <n v="5"/>
    <n v="2"/>
    <x v="1"/>
    <x v="2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5030C-E459-4B2B-BA3E-2EE0F3497A2E}" name="PivotTable1" cacheId="4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9" firstHeaderRow="1" firstDataRow="2" firstDataCol="1"/>
  <pivotFields count="13">
    <pivotField compact="0" outline="0" showAll="0"/>
    <pivotField compact="0" showAll="0">
      <items count="18">
        <item x="11"/>
        <item x="3"/>
        <item x="13"/>
        <item x="7"/>
        <item x="16"/>
        <item x="2"/>
        <item x="14"/>
        <item x="5"/>
        <item x="4"/>
        <item x="15"/>
        <item x="6"/>
        <item x="8"/>
        <item x="12"/>
        <item x="1"/>
        <item x="9"/>
        <item x="0"/>
        <item x="10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Attrition" fld="12" subtotal="count" showDataAs="percentOfRow" baseField="0" baseItem="0" numFmtId="10"/>
  </dataFields>
  <formats count="10">
    <format dxfId="40">
      <pivotArea type="all" dataOnly="0" outline="0" fieldPosition="0"/>
    </format>
    <format dxfId="41">
      <pivotArea outline="0" collapsedLevelsAreSubtotals="1" fieldPosition="0"/>
    </format>
    <format dxfId="42">
      <pivotArea type="origin" dataOnly="0" labelOnly="1" outline="0" fieldPosition="0"/>
    </format>
    <format dxfId="43">
      <pivotArea field="12" type="button" dataOnly="0" labelOnly="1" outline="0" axis="axisCol" fieldPosition="0"/>
    </format>
    <format dxfId="44">
      <pivotArea type="topRight" dataOnly="0" labelOnly="1" outline="0" fieldPosition="0"/>
    </format>
    <format dxfId="45">
      <pivotArea field="3" type="button" dataOnly="0" labelOnly="1" outline="0" axis="axisRow" fieldPosition="0"/>
    </format>
    <format dxfId="46">
      <pivotArea dataOnly="0" labelOnly="1" outline="0" fieldPosition="0">
        <references count="1">
          <reference field="3" count="0"/>
        </references>
      </pivotArea>
    </format>
    <format dxfId="47">
      <pivotArea dataOnly="0" labelOnly="1" grandRow="1" outline="0" fieldPosition="0"/>
    </format>
    <format dxfId="48">
      <pivotArea dataOnly="0" labelOnly="1" outline="0" fieldPosition="0">
        <references count="1">
          <reference field="12" count="0"/>
        </references>
      </pivotArea>
    </format>
    <format dxfId="49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4E13C-6C35-472D-AA39-AA9D4C584924}" name="PivotTable1" cacheId="4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7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Attrition" fld="12" subtotal="count" showDataAs="percentOfRow" baseField="0" baseItem="0" numFmtId="10"/>
  </dataFields>
  <formats count="10">
    <format dxfId="30">
      <pivotArea type="all" dataOnly="0" outline="0" fieldPosition="0"/>
    </format>
    <format dxfId="31">
      <pivotArea outline="0" collapsedLevelsAreSubtotals="1" fieldPosition="0"/>
    </format>
    <format dxfId="32">
      <pivotArea type="origin" dataOnly="0" labelOnly="1" outline="0" fieldPosition="0"/>
    </format>
    <format dxfId="33">
      <pivotArea field="12" type="button" dataOnly="0" labelOnly="1" outline="0" axis="axisCol" fieldPosition="0"/>
    </format>
    <format dxfId="34">
      <pivotArea type="topRight" dataOnly="0" labelOnly="1" outline="0" fieldPosition="0"/>
    </format>
    <format dxfId="35">
      <pivotArea field="11" type="button" dataOnly="0" labelOnly="1" outline="0" axis="axisRow" fieldPosition="0"/>
    </format>
    <format dxfId="36">
      <pivotArea dataOnly="0" labelOnly="1" outline="0" fieldPosition="0">
        <references count="1">
          <reference field="11" count="0"/>
        </references>
      </pivotArea>
    </format>
    <format dxfId="37">
      <pivotArea dataOnly="0" labelOnly="1" grandRow="1" outline="0" fieldPosition="0"/>
    </format>
    <format dxfId="38">
      <pivotArea dataOnly="0" labelOnly="1" outline="0" fieldPosition="0">
        <references count="1">
          <reference field="12" count="0"/>
        </references>
      </pivotArea>
    </format>
    <format dxfId="39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A1B4F-B710-493E-B74D-E768969DFDCA}" name="PivotTable2" cacheId="4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9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6"/>
        <item x="4"/>
        <item x="16"/>
        <item x="1"/>
        <item x="19"/>
        <item x="18"/>
        <item x="10"/>
        <item x="14"/>
        <item x="2"/>
        <item x="17"/>
        <item x="9"/>
        <item x="12"/>
        <item x="0"/>
        <item x="11"/>
        <item x="15"/>
        <item x="8"/>
        <item x="7"/>
        <item x="5"/>
        <item x="13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Attrition" fld="12" subtotal="count" showDataAs="percentOfRow" baseField="0" baseItem="0" numFmtId="10"/>
  </dataFields>
  <formats count="10">
    <format dxfId="20">
      <pivotArea type="all" dataOnly="0" outline="0" fieldPosition="0"/>
    </format>
    <format dxfId="21">
      <pivotArea outline="0" collapsedLevelsAreSubtotals="1" fieldPosition="0"/>
    </format>
    <format dxfId="22">
      <pivotArea type="origin" dataOnly="0" labelOnly="1" outline="0" fieldPosition="0"/>
    </format>
    <format dxfId="23">
      <pivotArea field="12" type="button" dataOnly="0" labelOnly="1" outline="0" axis="axisCol" fieldPosition="0"/>
    </format>
    <format dxfId="24">
      <pivotArea type="topRight" dataOnly="0" labelOnly="1" outline="0" fieldPosition="0"/>
    </format>
    <format dxfId="25">
      <pivotArea field="8" type="button" dataOnly="0" labelOnly="1" outline="0" axis="axisRow" fieldPosition="0"/>
    </format>
    <format dxfId="26">
      <pivotArea dataOnly="0" labelOnly="1" outline="0" fieldPosition="0">
        <references count="1">
          <reference field="8" count="0"/>
        </references>
      </pivotArea>
    </format>
    <format dxfId="27">
      <pivotArea dataOnly="0" labelOnly="1" grandRow="1" outline="0" fieldPosition="0"/>
    </format>
    <format dxfId="28">
      <pivotArea dataOnly="0" labelOnly="1" outline="0" fieldPosition="0">
        <references count="1">
          <reference field="12" count="0"/>
        </references>
      </pivotArea>
    </format>
    <format dxfId="29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DDB58-CD2E-46A5-92D5-CFE0E37E7F87}" name="PivotTable3" cacheId="4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9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Attrition" fld="12" subtotal="count" showDataAs="percentOfRow" baseField="0" baseItem="0" numFmtId="10"/>
  </dataFields>
  <formats count="10"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12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9" type="button" dataOnly="0" labelOnly="1" outline="0" axis="axisRow" fieldPosition="0"/>
    </format>
    <format dxfId="16">
      <pivotArea dataOnly="0" labelOnly="1" outline="0" fieldPosition="0">
        <references count="1">
          <reference field="9" count="0"/>
        </references>
      </pivotArea>
    </format>
    <format dxfId="17">
      <pivotArea dataOnly="0" labelOnly="1" grandRow="1" outline="0" fieldPosition="0"/>
    </format>
    <format dxfId="18">
      <pivotArea dataOnly="0" labelOnly="1" outline="0" fieldPosition="0">
        <references count="1">
          <reference field="12" count="0"/>
        </references>
      </pivotArea>
    </format>
    <format dxfId="19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DEA9C-4202-4F52-A517-32E650871E96}" name="PivotTable4" cacheId="4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7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Attrition" fld="12" subtotal="count" showDataAs="percentOfRow" baseField="0" baseItem="0" numFmtId="10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2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10" type="button" dataOnly="0" labelOnly="1" outline="0" axis="axisRow" fieldPosition="0"/>
    </format>
    <format dxfId="6">
      <pivotArea dataOnly="0" labelOnly="1" outline="0" fieldPosition="0">
        <references count="1">
          <reference field="10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12" count="0"/>
        </references>
      </pivotArea>
    </format>
    <format dxfId="9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5FAB-E275-4309-A62E-B5269370EA6C}">
  <dimension ref="A1:AD32"/>
  <sheetViews>
    <sheetView workbookViewId="0">
      <selection activeCell="A6" sqref="A6:B6"/>
    </sheetView>
  </sheetViews>
  <sheetFormatPr defaultRowHeight="25.9"/>
  <cols>
    <col min="1" max="1" width="14.85546875" style="12" customWidth="1"/>
    <col min="2" max="2" width="24.42578125" style="12" customWidth="1"/>
    <col min="3" max="3" width="14.5703125" style="12" customWidth="1"/>
    <col min="4" max="10" width="9.140625" style="12"/>
  </cols>
  <sheetData>
    <row r="1" spans="1:30" s="12" customFormat="1" ht="53.25" customHeight="1">
      <c r="A1" s="16" t="s">
        <v>0</v>
      </c>
      <c r="B1" s="16"/>
      <c r="G1" s="14"/>
    </row>
    <row r="2" spans="1:30" s="12" customFormat="1" ht="64.5" customHeight="1">
      <c r="A2" s="17" t="s">
        <v>1</v>
      </c>
      <c r="B2" s="17"/>
    </row>
    <row r="3" spans="1:30" s="12" customFormat="1" ht="39.75" customHeight="1">
      <c r="A3" s="15" t="s">
        <v>2</v>
      </c>
      <c r="B3" s="15"/>
    </row>
    <row r="4" spans="1:30" s="12" customFormat="1" ht="48" customHeight="1">
      <c r="A4" s="17" t="s">
        <v>3</v>
      </c>
      <c r="B4" s="17"/>
    </row>
    <row r="5" spans="1:30" s="12" customFormat="1" ht="42" customHeight="1">
      <c r="A5" s="15" t="s">
        <v>4</v>
      </c>
      <c r="B5" s="15"/>
    </row>
    <row r="6" spans="1:30" ht="52.5" customHeight="1">
      <c r="A6" s="15" t="s">
        <v>5</v>
      </c>
      <c r="B6" s="15"/>
    </row>
    <row r="7" spans="1:30" ht="15" customHeight="1">
      <c r="A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customHeight="1"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" customHeight="1"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" customHeight="1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" customHeight="1"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" customHeight="1"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" customHeight="1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" customHeight="1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" customHeight="1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" customHeight="1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1:30" ht="15" customHeight="1"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1:30" ht="15" customHeight="1"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1:30" ht="15" customHeight="1"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1:30" ht="15" customHeight="1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1:30" ht="15" customHeight="1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1:30" ht="15" customHeight="1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1:30" ht="15" customHeight="1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1:30" ht="15" customHeight="1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1:30" ht="15" customHeight="1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1:30" ht="15" customHeight="1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1:30" ht="15" customHeight="1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1:30" ht="15" customHeight="1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1:30" ht="15" customHeight="1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1:30" ht="15" customHeight="1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1:30" ht="15" customHeight="1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1:30" ht="15" customHeight="1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D1" sqref="D1"/>
    </sheetView>
  </sheetViews>
  <sheetFormatPr defaultRowHeight="14.45"/>
  <cols>
    <col min="1" max="1" width="11.140625" bestFit="1" customWidth="1"/>
    <col min="4" max="4" width="11.140625" bestFit="1" customWidth="1"/>
    <col min="6" max="6" width="14.140625" bestFit="1" customWidth="1"/>
    <col min="7" max="7" width="15.5703125" bestFit="1" customWidth="1"/>
    <col min="8" max="8" width="17.5703125" bestFit="1" customWidth="1"/>
    <col min="9" max="9" width="13.85546875" bestFit="1" customWidth="1"/>
    <col min="10" max="10" width="15.28515625" bestFit="1" customWidth="1"/>
    <col min="11" max="11" width="17.28515625" bestFit="1" customWidth="1"/>
  </cols>
  <sheetData>
    <row r="1" spans="1:1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</row>
    <row r="2" spans="1:13">
      <c r="A2" s="1">
        <v>1001</v>
      </c>
      <c r="B2" s="1">
        <v>58</v>
      </c>
      <c r="C2" s="1" t="s">
        <v>19</v>
      </c>
      <c r="D2" s="1" t="s">
        <v>20</v>
      </c>
      <c r="E2" s="1" t="s">
        <v>21</v>
      </c>
      <c r="F2" s="1">
        <v>77260</v>
      </c>
      <c r="G2" s="1">
        <v>16</v>
      </c>
      <c r="H2" s="1">
        <v>1</v>
      </c>
      <c r="I2" s="1">
        <v>2</v>
      </c>
      <c r="J2" s="1">
        <v>4</v>
      </c>
      <c r="K2" s="1">
        <v>3</v>
      </c>
      <c r="L2" s="1" t="s">
        <v>22</v>
      </c>
      <c r="M2" s="1" t="s">
        <v>22</v>
      </c>
    </row>
    <row r="3" spans="1:13">
      <c r="A3" s="1">
        <v>1002</v>
      </c>
      <c r="B3" s="1">
        <v>48</v>
      </c>
      <c r="C3" s="1" t="s">
        <v>19</v>
      </c>
      <c r="D3" s="1" t="s">
        <v>23</v>
      </c>
      <c r="E3" s="1" t="s">
        <v>24</v>
      </c>
      <c r="F3" s="1">
        <v>30438</v>
      </c>
      <c r="G3" s="1">
        <v>20</v>
      </c>
      <c r="H3" s="1">
        <v>11</v>
      </c>
      <c r="I3" s="1">
        <v>3</v>
      </c>
      <c r="J3" s="1">
        <v>1</v>
      </c>
      <c r="K3" s="1">
        <v>4</v>
      </c>
      <c r="L3" s="1" t="s">
        <v>22</v>
      </c>
      <c r="M3" s="1" t="s">
        <v>22</v>
      </c>
    </row>
    <row r="4" spans="1:13">
      <c r="A4" s="1">
        <v>1003</v>
      </c>
      <c r="B4" s="1">
        <v>34</v>
      </c>
      <c r="C4" s="1" t="s">
        <v>25</v>
      </c>
      <c r="D4" s="1" t="s">
        <v>26</v>
      </c>
      <c r="E4" s="1" t="s">
        <v>24</v>
      </c>
      <c r="F4" s="1">
        <v>63442</v>
      </c>
      <c r="G4" s="1">
        <v>18</v>
      </c>
      <c r="H4" s="1">
        <v>5</v>
      </c>
      <c r="I4" s="1">
        <v>3</v>
      </c>
      <c r="J4" s="1">
        <v>3</v>
      </c>
      <c r="K4" s="1">
        <v>3</v>
      </c>
      <c r="L4" s="1" t="s">
        <v>22</v>
      </c>
      <c r="M4" s="1" t="s">
        <v>22</v>
      </c>
    </row>
    <row r="5" spans="1:13">
      <c r="A5" s="1">
        <v>1004</v>
      </c>
      <c r="B5" s="1">
        <v>27</v>
      </c>
      <c r="C5" s="1" t="s">
        <v>19</v>
      </c>
      <c r="D5" s="1" t="s">
        <v>23</v>
      </c>
      <c r="E5" s="1" t="s">
        <v>24</v>
      </c>
      <c r="F5" s="1">
        <v>118061</v>
      </c>
      <c r="G5" s="1">
        <v>1</v>
      </c>
      <c r="H5" s="1">
        <v>4</v>
      </c>
      <c r="I5" s="1">
        <v>3</v>
      </c>
      <c r="J5" s="1">
        <v>4</v>
      </c>
      <c r="K5" s="1">
        <v>3</v>
      </c>
      <c r="L5" s="1" t="s">
        <v>22</v>
      </c>
      <c r="M5" s="1" t="s">
        <v>22</v>
      </c>
    </row>
    <row r="6" spans="1:13">
      <c r="A6" s="1">
        <v>1005</v>
      </c>
      <c r="B6" s="1">
        <v>40</v>
      </c>
      <c r="C6" s="1" t="s">
        <v>25</v>
      </c>
      <c r="D6" s="1" t="s">
        <v>23</v>
      </c>
      <c r="E6" s="1" t="s">
        <v>21</v>
      </c>
      <c r="F6" s="1">
        <v>17994</v>
      </c>
      <c r="G6" s="1">
        <v>7</v>
      </c>
      <c r="H6" s="1">
        <v>9</v>
      </c>
      <c r="I6" s="1">
        <v>2</v>
      </c>
      <c r="J6" s="1">
        <v>4</v>
      </c>
      <c r="K6" s="1">
        <v>4</v>
      </c>
      <c r="L6" s="1" t="s">
        <v>27</v>
      </c>
      <c r="M6" s="1" t="s">
        <v>27</v>
      </c>
    </row>
    <row r="7" spans="1:13">
      <c r="A7" s="1">
        <v>1006</v>
      </c>
      <c r="B7" s="1">
        <v>58</v>
      </c>
      <c r="C7" s="1" t="s">
        <v>25</v>
      </c>
      <c r="D7" s="1" t="s">
        <v>26</v>
      </c>
      <c r="E7" s="1" t="s">
        <v>28</v>
      </c>
      <c r="F7" s="1">
        <v>114575</v>
      </c>
      <c r="G7" s="1">
        <v>9</v>
      </c>
      <c r="H7" s="1">
        <v>6</v>
      </c>
      <c r="I7" s="1">
        <v>4</v>
      </c>
      <c r="J7" s="1">
        <v>3</v>
      </c>
      <c r="K7" s="1">
        <v>3</v>
      </c>
      <c r="L7" s="1" t="s">
        <v>27</v>
      </c>
      <c r="M7" s="1" t="s">
        <v>22</v>
      </c>
    </row>
    <row r="8" spans="1:13">
      <c r="A8" s="1">
        <v>1007</v>
      </c>
      <c r="B8" s="1">
        <v>38</v>
      </c>
      <c r="C8" s="1" t="s">
        <v>25</v>
      </c>
      <c r="D8" s="1" t="s">
        <v>23</v>
      </c>
      <c r="E8" s="1" t="s">
        <v>28</v>
      </c>
      <c r="F8" s="1">
        <v>16813</v>
      </c>
      <c r="G8" s="1">
        <v>3</v>
      </c>
      <c r="H8" s="1">
        <v>5</v>
      </c>
      <c r="I8" s="1">
        <v>2</v>
      </c>
      <c r="J8" s="1">
        <v>3</v>
      </c>
      <c r="K8" s="1">
        <v>3</v>
      </c>
      <c r="L8" s="1" t="s">
        <v>22</v>
      </c>
      <c r="M8" s="1" t="s">
        <v>22</v>
      </c>
    </row>
    <row r="9" spans="1:13">
      <c r="A9" s="1">
        <v>1008</v>
      </c>
      <c r="B9" s="1">
        <v>42</v>
      </c>
      <c r="C9" s="1" t="s">
        <v>19</v>
      </c>
      <c r="D9" s="1" t="s">
        <v>23</v>
      </c>
      <c r="E9" s="1" t="s">
        <v>24</v>
      </c>
      <c r="F9" s="1">
        <v>108027</v>
      </c>
      <c r="G9" s="1">
        <v>11</v>
      </c>
      <c r="H9" s="1">
        <v>7</v>
      </c>
      <c r="I9" s="1">
        <v>4</v>
      </c>
      <c r="J9" s="1">
        <v>3</v>
      </c>
      <c r="K9" s="1">
        <v>3</v>
      </c>
      <c r="L9" s="1" t="s">
        <v>27</v>
      </c>
      <c r="M9" s="1" t="s">
        <v>22</v>
      </c>
    </row>
    <row r="10" spans="1:13">
      <c r="A10" s="1">
        <v>1009</v>
      </c>
      <c r="B10" s="1">
        <v>30</v>
      </c>
      <c r="C10" s="1" t="s">
        <v>25</v>
      </c>
      <c r="D10" s="1" t="s">
        <v>26</v>
      </c>
      <c r="E10" s="1" t="s">
        <v>21</v>
      </c>
      <c r="F10" s="1">
        <v>99381</v>
      </c>
      <c r="G10" s="1">
        <v>10</v>
      </c>
      <c r="H10" s="1">
        <v>2</v>
      </c>
      <c r="I10" s="1">
        <v>3</v>
      </c>
      <c r="J10" s="1">
        <v>3</v>
      </c>
      <c r="K10" s="1">
        <v>3</v>
      </c>
      <c r="L10" s="1" t="s">
        <v>22</v>
      </c>
      <c r="M10" s="1" t="s">
        <v>22</v>
      </c>
    </row>
    <row r="11" spans="1:13">
      <c r="A11" s="1">
        <v>1010</v>
      </c>
      <c r="B11" s="1">
        <v>30</v>
      </c>
      <c r="C11" s="1" t="s">
        <v>25</v>
      </c>
      <c r="D11" s="1" t="s">
        <v>23</v>
      </c>
      <c r="E11" s="1" t="s">
        <v>28</v>
      </c>
      <c r="F11" s="1">
        <v>70276</v>
      </c>
      <c r="G11" s="1">
        <v>6</v>
      </c>
      <c r="H11" s="1">
        <v>3</v>
      </c>
      <c r="I11" s="1">
        <v>3</v>
      </c>
      <c r="J11" s="1">
        <v>3</v>
      </c>
      <c r="K11" s="1">
        <v>3</v>
      </c>
      <c r="L11" s="1" t="s">
        <v>27</v>
      </c>
      <c r="M11" s="1" t="s">
        <v>22</v>
      </c>
    </row>
    <row r="12" spans="1:13">
      <c r="A12" s="1">
        <v>1011</v>
      </c>
      <c r="B12" s="1">
        <v>43</v>
      </c>
      <c r="C12" s="1" t="s">
        <v>19</v>
      </c>
      <c r="D12" s="1" t="s">
        <v>29</v>
      </c>
      <c r="E12" s="1" t="s">
        <v>28</v>
      </c>
      <c r="F12" s="1">
        <v>56243</v>
      </c>
      <c r="G12" s="1">
        <v>12</v>
      </c>
      <c r="H12" s="1">
        <v>4</v>
      </c>
      <c r="I12" s="1">
        <v>3</v>
      </c>
      <c r="J12" s="1">
        <v>3</v>
      </c>
      <c r="K12" s="1">
        <v>3</v>
      </c>
      <c r="L12" s="1" t="s">
        <v>22</v>
      </c>
      <c r="M12" s="1" t="s">
        <v>22</v>
      </c>
    </row>
    <row r="13" spans="1:13">
      <c r="A13" s="1">
        <v>1012</v>
      </c>
      <c r="B13" s="1">
        <v>55</v>
      </c>
      <c r="C13" s="1" t="s">
        <v>19</v>
      </c>
      <c r="D13" s="1" t="s">
        <v>29</v>
      </c>
      <c r="E13" s="1" t="s">
        <v>28</v>
      </c>
      <c r="F13" s="1">
        <v>77912</v>
      </c>
      <c r="G13" s="1">
        <v>21</v>
      </c>
      <c r="H13" s="1">
        <v>6</v>
      </c>
      <c r="I13" s="1">
        <v>4</v>
      </c>
      <c r="J13" s="1">
        <v>4</v>
      </c>
      <c r="K13" s="1">
        <v>4</v>
      </c>
      <c r="L13" s="1" t="s">
        <v>22</v>
      </c>
      <c r="M13" s="1" t="s">
        <v>22</v>
      </c>
    </row>
    <row r="14" spans="1:13">
      <c r="A14" s="1">
        <v>1013</v>
      </c>
      <c r="B14" s="1">
        <v>59</v>
      </c>
      <c r="C14" s="1" t="s">
        <v>19</v>
      </c>
      <c r="D14" s="1" t="s">
        <v>23</v>
      </c>
      <c r="E14" s="1" t="s">
        <v>21</v>
      </c>
      <c r="F14" s="1">
        <v>75272</v>
      </c>
      <c r="G14" s="1">
        <v>24</v>
      </c>
      <c r="H14" s="1">
        <v>3</v>
      </c>
      <c r="I14" s="1">
        <v>3</v>
      </c>
      <c r="J14" s="1">
        <v>3</v>
      </c>
      <c r="K14" s="1">
        <v>3</v>
      </c>
      <c r="L14" s="1" t="s">
        <v>22</v>
      </c>
      <c r="M14" s="1" t="s">
        <v>22</v>
      </c>
    </row>
    <row r="15" spans="1:13">
      <c r="A15" s="1">
        <v>1014</v>
      </c>
      <c r="B15" s="1">
        <v>43</v>
      </c>
      <c r="C15" s="1" t="s">
        <v>19</v>
      </c>
      <c r="D15" s="1" t="s">
        <v>26</v>
      </c>
      <c r="E15" s="1" t="s">
        <v>21</v>
      </c>
      <c r="F15" s="1">
        <v>117700</v>
      </c>
      <c r="G15" s="1">
        <v>15</v>
      </c>
      <c r="H15" s="1">
        <v>5</v>
      </c>
      <c r="I15" s="1">
        <v>4</v>
      </c>
      <c r="J15" s="1">
        <v>3</v>
      </c>
      <c r="K15" s="1">
        <v>3</v>
      </c>
      <c r="L15" s="1" t="s">
        <v>22</v>
      </c>
      <c r="M15" s="1" t="s">
        <v>22</v>
      </c>
    </row>
    <row r="16" spans="1:13">
      <c r="A16" s="1">
        <v>1015</v>
      </c>
      <c r="B16" s="1">
        <v>22</v>
      </c>
      <c r="C16" s="1" t="s">
        <v>25</v>
      </c>
      <c r="D16" s="1" t="s">
        <v>23</v>
      </c>
      <c r="E16" s="1" t="s">
        <v>24</v>
      </c>
      <c r="F16" s="1">
        <v>57051</v>
      </c>
      <c r="G16" s="1">
        <v>0</v>
      </c>
      <c r="H16" s="1">
        <v>0</v>
      </c>
      <c r="I16" s="1">
        <v>2</v>
      </c>
      <c r="J16" s="1">
        <v>2</v>
      </c>
      <c r="K16" s="1">
        <v>3</v>
      </c>
      <c r="L16" s="1" t="s">
        <v>27</v>
      </c>
      <c r="M16" s="1" t="s">
        <v>22</v>
      </c>
    </row>
    <row r="17" spans="1:13">
      <c r="A17" s="1">
        <v>1016</v>
      </c>
      <c r="B17" s="1">
        <v>45</v>
      </c>
      <c r="C17" s="1" t="s">
        <v>25</v>
      </c>
      <c r="D17" s="1" t="s">
        <v>20</v>
      </c>
      <c r="E17" s="1" t="s">
        <v>30</v>
      </c>
      <c r="F17" s="1">
        <v>84711</v>
      </c>
      <c r="G17" s="1">
        <v>19</v>
      </c>
      <c r="H17" s="1">
        <v>8</v>
      </c>
      <c r="I17" s="1">
        <v>4</v>
      </c>
      <c r="J17" s="1">
        <v>4</v>
      </c>
      <c r="K17" s="1">
        <v>4</v>
      </c>
      <c r="L17" s="1" t="s">
        <v>22</v>
      </c>
      <c r="M17" s="1" t="s">
        <v>22</v>
      </c>
    </row>
    <row r="18" spans="1:13">
      <c r="A18" s="1">
        <v>1017</v>
      </c>
      <c r="B18" s="1">
        <v>28</v>
      </c>
      <c r="C18" s="1" t="s">
        <v>19</v>
      </c>
      <c r="D18" s="1" t="s">
        <v>29</v>
      </c>
      <c r="E18" s="1" t="s">
        <v>31</v>
      </c>
      <c r="F18" s="1">
        <v>28543</v>
      </c>
      <c r="G18" s="1">
        <v>1</v>
      </c>
      <c r="H18" s="1">
        <v>1</v>
      </c>
      <c r="I18" s="1">
        <v>1</v>
      </c>
      <c r="J18" s="1">
        <v>2</v>
      </c>
      <c r="K18" s="1">
        <v>3</v>
      </c>
      <c r="L18" s="1" t="s">
        <v>27</v>
      </c>
      <c r="M18" s="1" t="s">
        <v>27</v>
      </c>
    </row>
    <row r="19" spans="1:13">
      <c r="A19" s="1">
        <v>1018</v>
      </c>
      <c r="B19" s="1">
        <v>36</v>
      </c>
      <c r="C19" s="1" t="s">
        <v>25</v>
      </c>
      <c r="D19" s="1" t="s">
        <v>23</v>
      </c>
      <c r="E19" s="1" t="s">
        <v>30</v>
      </c>
      <c r="F19" s="1">
        <v>69412</v>
      </c>
      <c r="G19" s="1">
        <v>7</v>
      </c>
      <c r="H19" s="1">
        <v>3</v>
      </c>
      <c r="I19" s="1">
        <v>3</v>
      </c>
      <c r="J19" s="1">
        <v>3</v>
      </c>
      <c r="K19" s="1">
        <v>3</v>
      </c>
      <c r="L19" s="1" t="s">
        <v>22</v>
      </c>
      <c r="M19" s="1" t="s">
        <v>22</v>
      </c>
    </row>
    <row r="20" spans="1:13">
      <c r="A20" s="1">
        <v>1019</v>
      </c>
      <c r="B20" s="1">
        <v>41</v>
      </c>
      <c r="C20" s="1" t="s">
        <v>19</v>
      </c>
      <c r="D20" s="1" t="s">
        <v>26</v>
      </c>
      <c r="E20" s="1" t="s">
        <v>28</v>
      </c>
      <c r="F20" s="1">
        <v>45122</v>
      </c>
      <c r="G20" s="1">
        <v>14</v>
      </c>
      <c r="H20" s="1">
        <v>6</v>
      </c>
      <c r="I20" s="1">
        <v>2</v>
      </c>
      <c r="J20" s="1">
        <v>3</v>
      </c>
      <c r="K20" s="1">
        <v>3</v>
      </c>
      <c r="L20" s="1" t="s">
        <v>22</v>
      </c>
      <c r="M20" s="1" t="s">
        <v>27</v>
      </c>
    </row>
    <row r="21" spans="1:13">
      <c r="A21" s="1">
        <v>1020</v>
      </c>
      <c r="B21" s="1">
        <v>33</v>
      </c>
      <c r="C21" s="1" t="s">
        <v>25</v>
      </c>
      <c r="D21" s="1" t="s">
        <v>20</v>
      </c>
      <c r="E21" s="1" t="s">
        <v>21</v>
      </c>
      <c r="F21" s="1">
        <v>38991</v>
      </c>
      <c r="G21" s="1">
        <v>5</v>
      </c>
      <c r="H21" s="1">
        <v>2</v>
      </c>
      <c r="I21" s="1">
        <v>3</v>
      </c>
      <c r="J21" s="1">
        <v>3</v>
      </c>
      <c r="K21" s="1">
        <v>3</v>
      </c>
      <c r="L21" s="1" t="s">
        <v>22</v>
      </c>
      <c r="M21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630A-F70A-4BC5-BA2B-5487B3B4C110}">
  <dimension ref="A3:D27"/>
  <sheetViews>
    <sheetView workbookViewId="0"/>
  </sheetViews>
  <sheetFormatPr defaultRowHeight="14.45"/>
  <cols>
    <col min="1" max="1" width="36.5703125" bestFit="1" customWidth="1"/>
    <col min="2" max="2" width="13.42578125" customWidth="1"/>
    <col min="3" max="3" width="7.42578125" bestFit="1" customWidth="1"/>
    <col min="4" max="4" width="11.140625" bestFit="1" customWidth="1"/>
    <col min="5" max="17" width="3" bestFit="1" customWidth="1"/>
    <col min="18" max="18" width="11.140625" bestFit="1" customWidth="1"/>
  </cols>
  <sheetData>
    <row r="3" spans="1:4">
      <c r="A3" s="3" t="s">
        <v>32</v>
      </c>
      <c r="B3" s="3" t="s">
        <v>18</v>
      </c>
      <c r="C3" s="1"/>
      <c r="D3" s="1"/>
    </row>
    <row r="4" spans="1:4">
      <c r="A4" s="3" t="s">
        <v>9</v>
      </c>
      <c r="B4" s="1" t="s">
        <v>22</v>
      </c>
      <c r="C4" s="1" t="s">
        <v>27</v>
      </c>
      <c r="D4" s="1" t="s">
        <v>33</v>
      </c>
    </row>
    <row r="5" spans="1:4">
      <c r="A5" s="1" t="s">
        <v>26</v>
      </c>
      <c r="B5" s="4">
        <v>0.8</v>
      </c>
      <c r="C5" s="4">
        <v>0.2</v>
      </c>
      <c r="D5" s="4">
        <v>1</v>
      </c>
    </row>
    <row r="6" spans="1:4">
      <c r="A6" s="1" t="s">
        <v>23</v>
      </c>
      <c r="B6" s="4">
        <v>0.88888888888888884</v>
      </c>
      <c r="C6" s="4">
        <v>0.1111111111111111</v>
      </c>
      <c r="D6" s="4">
        <v>1</v>
      </c>
    </row>
    <row r="7" spans="1:4">
      <c r="A7" s="1" t="s">
        <v>20</v>
      </c>
      <c r="B7" s="4">
        <v>1</v>
      </c>
      <c r="C7" s="4">
        <v>0</v>
      </c>
      <c r="D7" s="4">
        <v>1</v>
      </c>
    </row>
    <row r="8" spans="1:4">
      <c r="A8" s="1" t="s">
        <v>29</v>
      </c>
      <c r="B8" s="4">
        <v>0.66666666666666663</v>
      </c>
      <c r="C8" s="4">
        <v>0.33333333333333331</v>
      </c>
      <c r="D8" s="4">
        <v>1</v>
      </c>
    </row>
    <row r="9" spans="1:4">
      <c r="A9" s="1" t="s">
        <v>33</v>
      </c>
      <c r="B9" s="4">
        <v>0.85</v>
      </c>
      <c r="C9" s="4">
        <v>0.15</v>
      </c>
      <c r="D9" s="4">
        <v>1</v>
      </c>
    </row>
    <row r="20" spans="1:1">
      <c r="A20" s="5" t="s">
        <v>34</v>
      </c>
    </row>
    <row r="21" spans="1:1">
      <c r="A21" s="5" t="s">
        <v>35</v>
      </c>
    </row>
    <row r="22" spans="1:1" ht="28.9">
      <c r="A22" s="5" t="s">
        <v>36</v>
      </c>
    </row>
    <row r="23" spans="1:1" ht="28.9">
      <c r="A23" s="5" t="s">
        <v>37</v>
      </c>
    </row>
    <row r="24" spans="1:1" ht="28.9">
      <c r="A24" s="5" t="s">
        <v>38</v>
      </c>
    </row>
    <row r="25" spans="1:1">
      <c r="A25" s="5" t="s">
        <v>39</v>
      </c>
    </row>
    <row r="26" spans="1:1" ht="28.9">
      <c r="A26" s="5" t="s">
        <v>40</v>
      </c>
    </row>
    <row r="27" spans="1:1" ht="28.9">
      <c r="A27" s="5" t="s">
        <v>41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363F-4596-4756-8EA5-8E03A58AE8FD}">
  <dimension ref="A3:D22"/>
  <sheetViews>
    <sheetView workbookViewId="0">
      <selection activeCell="A15" sqref="A15"/>
    </sheetView>
  </sheetViews>
  <sheetFormatPr defaultRowHeight="14.45"/>
  <cols>
    <col min="1" max="1" width="36.5703125" bestFit="1" customWidth="1"/>
    <col min="2" max="2" width="13.85546875" customWidth="1"/>
    <col min="3" max="3" width="7.42578125" bestFit="1" customWidth="1"/>
    <col min="4" max="4" width="11.140625" bestFit="1" customWidth="1"/>
  </cols>
  <sheetData>
    <row r="3" spans="1:4">
      <c r="A3" s="3" t="s">
        <v>32</v>
      </c>
      <c r="B3" s="3" t="s">
        <v>18</v>
      </c>
      <c r="C3" s="1"/>
      <c r="D3" s="1"/>
    </row>
    <row r="4" spans="1:4">
      <c r="A4" s="3" t="s">
        <v>17</v>
      </c>
      <c r="B4" s="1" t="s">
        <v>22</v>
      </c>
      <c r="C4" s="1" t="s">
        <v>27</v>
      </c>
      <c r="D4" s="1" t="s">
        <v>33</v>
      </c>
    </row>
    <row r="5" spans="1:4">
      <c r="A5" s="1" t="s">
        <v>22</v>
      </c>
      <c r="B5" s="4">
        <v>0.9285714285714286</v>
      </c>
      <c r="C5" s="4">
        <v>7.1428571428571425E-2</v>
      </c>
      <c r="D5" s="4">
        <v>1</v>
      </c>
    </row>
    <row r="6" spans="1:4">
      <c r="A6" s="1" t="s">
        <v>27</v>
      </c>
      <c r="B6" s="4">
        <v>0.66666666666666663</v>
      </c>
      <c r="C6" s="4">
        <v>0.33333333333333331</v>
      </c>
      <c r="D6" s="4">
        <v>1</v>
      </c>
    </row>
    <row r="7" spans="1:4">
      <c r="A7" s="1" t="s">
        <v>33</v>
      </c>
      <c r="B7" s="4">
        <v>0.85</v>
      </c>
      <c r="C7" s="4">
        <v>0.15</v>
      </c>
      <c r="D7" s="4">
        <v>1</v>
      </c>
    </row>
    <row r="15" spans="1:4">
      <c r="A15" s="5" t="s">
        <v>42</v>
      </c>
    </row>
    <row r="16" spans="1:4">
      <c r="A16" s="5" t="s">
        <v>35</v>
      </c>
    </row>
    <row r="17" spans="1:1" ht="28.9">
      <c r="A17" s="5" t="s">
        <v>43</v>
      </c>
    </row>
    <row r="18" spans="1:1" ht="28.9">
      <c r="A18" s="5" t="s">
        <v>44</v>
      </c>
    </row>
    <row r="19" spans="1:1">
      <c r="A19" s="5" t="s">
        <v>45</v>
      </c>
    </row>
    <row r="20" spans="1:1">
      <c r="A20" s="5" t="s">
        <v>39</v>
      </c>
    </row>
    <row r="21" spans="1:1">
      <c r="A21" s="5" t="s">
        <v>46</v>
      </c>
    </row>
    <row r="22" spans="1:1" ht="28.9">
      <c r="A22" s="5" t="s">
        <v>47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4FCA-9097-461E-A8CC-4E6D57996CA8}">
  <dimension ref="A3:D23"/>
  <sheetViews>
    <sheetView workbookViewId="0">
      <selection activeCell="A16" sqref="A16"/>
    </sheetView>
  </sheetViews>
  <sheetFormatPr defaultRowHeight="14.45"/>
  <cols>
    <col min="1" max="1" width="36.5703125" bestFit="1" customWidth="1"/>
    <col min="2" max="2" width="13.140625" customWidth="1"/>
    <col min="3" max="3" width="8.42578125" bestFit="1" customWidth="1"/>
    <col min="4" max="4" width="11.140625" bestFit="1" customWidth="1"/>
    <col min="5" max="16" width="6.28515625" bestFit="1" customWidth="1"/>
    <col min="17" max="20" width="7.42578125" bestFit="1" customWidth="1"/>
    <col min="21" max="22" width="11.140625" bestFit="1" customWidth="1"/>
  </cols>
  <sheetData>
    <row r="3" spans="1:4">
      <c r="A3" s="3" t="s">
        <v>32</v>
      </c>
      <c r="B3" s="3" t="s">
        <v>18</v>
      </c>
      <c r="C3" s="1"/>
      <c r="D3" s="1"/>
    </row>
    <row r="4" spans="1:4">
      <c r="A4" s="3" t="s">
        <v>14</v>
      </c>
      <c r="B4" s="1" t="s">
        <v>22</v>
      </c>
      <c r="C4" s="1" t="s">
        <v>27</v>
      </c>
      <c r="D4" s="1" t="s">
        <v>33</v>
      </c>
    </row>
    <row r="5" spans="1:4">
      <c r="A5" s="1">
        <v>1</v>
      </c>
      <c r="B5" s="4">
        <v>0</v>
      </c>
      <c r="C5" s="4">
        <v>1</v>
      </c>
      <c r="D5" s="4">
        <v>1</v>
      </c>
    </row>
    <row r="6" spans="1:4">
      <c r="A6" s="1">
        <v>2</v>
      </c>
      <c r="B6" s="4">
        <v>0.6</v>
      </c>
      <c r="C6" s="4">
        <v>0.4</v>
      </c>
      <c r="D6" s="4">
        <v>1</v>
      </c>
    </row>
    <row r="7" spans="1:4">
      <c r="A7" s="1">
        <v>3</v>
      </c>
      <c r="B7" s="4">
        <v>1</v>
      </c>
      <c r="C7" s="4">
        <v>0</v>
      </c>
      <c r="D7" s="4">
        <v>1</v>
      </c>
    </row>
    <row r="8" spans="1:4">
      <c r="A8" s="1">
        <v>4</v>
      </c>
      <c r="B8" s="4">
        <v>1</v>
      </c>
      <c r="C8" s="4">
        <v>0</v>
      </c>
      <c r="D8" s="4">
        <v>1</v>
      </c>
    </row>
    <row r="9" spans="1:4">
      <c r="A9" s="1" t="s">
        <v>33</v>
      </c>
      <c r="B9" s="4">
        <v>0.85</v>
      </c>
      <c r="C9" s="4">
        <v>0.15</v>
      </c>
      <c r="D9" s="4">
        <v>1</v>
      </c>
    </row>
    <row r="16" spans="1:4">
      <c r="A16" s="5" t="s">
        <v>48</v>
      </c>
    </row>
    <row r="17" spans="1:1">
      <c r="A17" s="5" t="s">
        <v>35</v>
      </c>
    </row>
    <row r="18" spans="1:1" ht="28.9">
      <c r="A18" s="5" t="s">
        <v>49</v>
      </c>
    </row>
    <row r="19" spans="1:1" ht="28.9">
      <c r="A19" s="5" t="s">
        <v>50</v>
      </c>
    </row>
    <row r="20" spans="1:1" ht="28.9">
      <c r="A20" s="5" t="s">
        <v>51</v>
      </c>
    </row>
    <row r="21" spans="1:1">
      <c r="A21" s="5" t="s">
        <v>39</v>
      </c>
    </row>
    <row r="22" spans="1:1" ht="28.9">
      <c r="A22" s="5" t="s">
        <v>52</v>
      </c>
    </row>
    <row r="23" spans="1:1" ht="28.9">
      <c r="A23" s="5" t="s">
        <v>53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58B6-C2B3-4AF4-A5B9-9DB49C5AE0D1}">
  <dimension ref="A3:D23"/>
  <sheetViews>
    <sheetView topLeftCell="A20" workbookViewId="0">
      <selection activeCell="B33" sqref="B33"/>
    </sheetView>
  </sheetViews>
  <sheetFormatPr defaultRowHeight="14.45"/>
  <cols>
    <col min="1" max="1" width="36.5703125" bestFit="1" customWidth="1"/>
    <col min="2" max="2" width="11.28515625" bestFit="1" customWidth="1"/>
    <col min="3" max="3" width="7.42578125" bestFit="1" customWidth="1"/>
    <col min="4" max="4" width="11.140625" bestFit="1" customWidth="1"/>
  </cols>
  <sheetData>
    <row r="3" spans="1:4">
      <c r="A3" s="3" t="s">
        <v>32</v>
      </c>
      <c r="B3" s="3" t="s">
        <v>18</v>
      </c>
      <c r="C3" s="1"/>
      <c r="D3" s="1"/>
    </row>
    <row r="4" spans="1:4">
      <c r="A4" s="3" t="s">
        <v>15</v>
      </c>
      <c r="B4" s="1" t="s">
        <v>22</v>
      </c>
      <c r="C4" s="1" t="s">
        <v>27</v>
      </c>
      <c r="D4" s="1" t="s">
        <v>33</v>
      </c>
    </row>
    <row r="5" spans="1:4">
      <c r="A5" s="1">
        <v>1</v>
      </c>
      <c r="B5" s="4">
        <v>1</v>
      </c>
      <c r="C5" s="4">
        <v>0</v>
      </c>
      <c r="D5" s="4">
        <v>1</v>
      </c>
    </row>
    <row r="6" spans="1:4">
      <c r="A6" s="1">
        <v>2</v>
      </c>
      <c r="B6" s="4">
        <v>0.5</v>
      </c>
      <c r="C6" s="4">
        <v>0.5</v>
      </c>
      <c r="D6" s="4">
        <v>1</v>
      </c>
    </row>
    <row r="7" spans="1:4">
      <c r="A7" s="1">
        <v>3</v>
      </c>
      <c r="B7" s="4">
        <v>0.91666666666666663</v>
      </c>
      <c r="C7" s="4">
        <v>8.3333333333333329E-2</v>
      </c>
      <c r="D7" s="4">
        <v>1</v>
      </c>
    </row>
    <row r="8" spans="1:4">
      <c r="A8" s="1">
        <v>4</v>
      </c>
      <c r="B8" s="4">
        <v>0.8</v>
      </c>
      <c r="C8" s="4">
        <v>0.2</v>
      </c>
      <c r="D8" s="4">
        <v>1</v>
      </c>
    </row>
    <row r="9" spans="1:4">
      <c r="A9" s="1" t="s">
        <v>33</v>
      </c>
      <c r="B9" s="4">
        <v>0.85</v>
      </c>
      <c r="C9" s="4">
        <v>0.15</v>
      </c>
      <c r="D9" s="4">
        <v>1</v>
      </c>
    </row>
    <row r="16" spans="1:4">
      <c r="A16" s="5" t="s">
        <v>54</v>
      </c>
    </row>
    <row r="17" spans="1:1">
      <c r="A17" s="5" t="s">
        <v>35</v>
      </c>
    </row>
    <row r="18" spans="1:1" ht="28.9">
      <c r="A18" s="5" t="s">
        <v>55</v>
      </c>
    </row>
    <row r="19" spans="1:1" ht="28.9">
      <c r="A19" s="5" t="s">
        <v>56</v>
      </c>
    </row>
    <row r="20" spans="1:1" ht="28.9">
      <c r="A20" s="5" t="s">
        <v>57</v>
      </c>
    </row>
    <row r="21" spans="1:1">
      <c r="A21" s="5" t="s">
        <v>39</v>
      </c>
    </row>
    <row r="22" spans="1:1" ht="28.9">
      <c r="A22" s="5" t="s">
        <v>58</v>
      </c>
    </row>
    <row r="23" spans="1:1" ht="28.9">
      <c r="A23" s="5" t="s">
        <v>59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A910-DF27-4EA3-88C9-5465E321598D}">
  <dimension ref="A3:D21"/>
  <sheetViews>
    <sheetView workbookViewId="0">
      <selection activeCell="A14" sqref="A14"/>
    </sheetView>
  </sheetViews>
  <sheetFormatPr defaultRowHeight="14.45"/>
  <cols>
    <col min="1" max="1" width="22.5703125" customWidth="1"/>
    <col min="2" max="2" width="12.42578125" customWidth="1"/>
    <col min="3" max="3" width="7.42578125" bestFit="1" customWidth="1"/>
    <col min="4" max="4" width="11.140625" bestFit="1" customWidth="1"/>
  </cols>
  <sheetData>
    <row r="3" spans="1:4">
      <c r="A3" s="3" t="s">
        <v>32</v>
      </c>
      <c r="B3" s="3" t="s">
        <v>18</v>
      </c>
      <c r="C3" s="1"/>
      <c r="D3" s="1"/>
    </row>
    <row r="4" spans="1:4">
      <c r="A4" s="3" t="s">
        <v>16</v>
      </c>
      <c r="B4" s="1" t="s">
        <v>22</v>
      </c>
      <c r="C4" s="1" t="s">
        <v>27</v>
      </c>
      <c r="D4" s="1" t="s">
        <v>33</v>
      </c>
    </row>
    <row r="5" spans="1:4">
      <c r="A5" s="1">
        <v>3</v>
      </c>
      <c r="B5" s="4">
        <v>0.875</v>
      </c>
      <c r="C5" s="4">
        <v>0.125</v>
      </c>
      <c r="D5" s="4">
        <v>1</v>
      </c>
    </row>
    <row r="6" spans="1:4">
      <c r="A6" s="1">
        <v>4</v>
      </c>
      <c r="B6" s="4">
        <v>0.75</v>
      </c>
      <c r="C6" s="4">
        <v>0.25</v>
      </c>
      <c r="D6" s="4">
        <v>1</v>
      </c>
    </row>
    <row r="7" spans="1:4">
      <c r="A7" s="1" t="s">
        <v>33</v>
      </c>
      <c r="B7" s="4">
        <v>0.85</v>
      </c>
      <c r="C7" s="4">
        <v>0.15</v>
      </c>
      <c r="D7" s="4">
        <v>1</v>
      </c>
    </row>
    <row r="14" spans="1:4" ht="28.9">
      <c r="A14" s="5" t="s">
        <v>60</v>
      </c>
    </row>
    <row r="15" spans="1:4">
      <c r="A15" s="5" t="s">
        <v>35</v>
      </c>
    </row>
    <row r="16" spans="1:4" ht="43.15">
      <c r="A16" s="5" t="s">
        <v>61</v>
      </c>
    </row>
    <row r="17" spans="1:1" ht="43.15">
      <c r="A17" s="5" t="s">
        <v>62</v>
      </c>
    </row>
    <row r="18" spans="1:1" ht="43.15">
      <c r="A18" s="5" t="s">
        <v>63</v>
      </c>
    </row>
    <row r="19" spans="1:1">
      <c r="A19" s="5" t="s">
        <v>39</v>
      </c>
    </row>
    <row r="20" spans="1:1" ht="43.15">
      <c r="A20" s="5" t="s">
        <v>64</v>
      </c>
    </row>
    <row r="21" spans="1:1" ht="43.15">
      <c r="A21" s="5" t="s">
        <v>65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648D-87B3-44EB-B651-1EF023D82097}">
  <dimension ref="A1:C22"/>
  <sheetViews>
    <sheetView topLeftCell="A3" workbookViewId="0">
      <selection activeCell="C3" sqref="C3"/>
    </sheetView>
  </sheetViews>
  <sheetFormatPr defaultRowHeight="14.45"/>
  <cols>
    <col min="1" max="1" width="13.28515625" customWidth="1"/>
    <col min="3" max="3" width="16.7109375" bestFit="1" customWidth="1"/>
  </cols>
  <sheetData>
    <row r="1" spans="1:3" s="7" customFormat="1" ht="29.25" customHeight="1">
      <c r="A1" s="18" t="s">
        <v>66</v>
      </c>
      <c r="B1" s="18"/>
      <c r="C1" s="18"/>
    </row>
    <row r="2" spans="1:3">
      <c r="A2" s="2" t="s">
        <v>6</v>
      </c>
      <c r="B2" s="2" t="s">
        <v>18</v>
      </c>
      <c r="C2" s="6" t="s">
        <v>67</v>
      </c>
    </row>
    <row r="3" spans="1:3">
      <c r="A3" s="1">
        <v>1001</v>
      </c>
      <c r="B3" s="1" t="s">
        <v>22</v>
      </c>
      <c r="C3">
        <f>IF(B3="YES",1,0)</f>
        <v>0</v>
      </c>
    </row>
    <row r="4" spans="1:3">
      <c r="A4" s="1">
        <v>1002</v>
      </c>
      <c r="B4" s="1" t="s">
        <v>22</v>
      </c>
      <c r="C4">
        <f t="shared" ref="C4:C22" si="0">IF(B4="Yes",1,0)</f>
        <v>0</v>
      </c>
    </row>
    <row r="5" spans="1:3">
      <c r="A5" s="1">
        <v>1003</v>
      </c>
      <c r="B5" s="1" t="s">
        <v>22</v>
      </c>
      <c r="C5">
        <f t="shared" si="0"/>
        <v>0</v>
      </c>
    </row>
    <row r="6" spans="1:3">
      <c r="A6" s="1">
        <v>1004</v>
      </c>
      <c r="B6" s="1" t="s">
        <v>22</v>
      </c>
      <c r="C6">
        <f t="shared" si="0"/>
        <v>0</v>
      </c>
    </row>
    <row r="7" spans="1:3">
      <c r="A7" s="1">
        <v>1005</v>
      </c>
      <c r="B7" s="1" t="s">
        <v>27</v>
      </c>
      <c r="C7">
        <f t="shared" si="0"/>
        <v>1</v>
      </c>
    </row>
    <row r="8" spans="1:3">
      <c r="A8" s="1">
        <v>1006</v>
      </c>
      <c r="B8" s="1" t="s">
        <v>22</v>
      </c>
      <c r="C8">
        <f t="shared" si="0"/>
        <v>0</v>
      </c>
    </row>
    <row r="9" spans="1:3">
      <c r="A9" s="1">
        <v>1007</v>
      </c>
      <c r="B9" s="1" t="s">
        <v>22</v>
      </c>
      <c r="C9">
        <f t="shared" si="0"/>
        <v>0</v>
      </c>
    </row>
    <row r="10" spans="1:3">
      <c r="A10" s="1">
        <v>1008</v>
      </c>
      <c r="B10" s="1" t="s">
        <v>22</v>
      </c>
      <c r="C10">
        <f t="shared" si="0"/>
        <v>0</v>
      </c>
    </row>
    <row r="11" spans="1:3">
      <c r="A11" s="1">
        <v>1009</v>
      </c>
      <c r="B11" s="1" t="s">
        <v>22</v>
      </c>
      <c r="C11">
        <f t="shared" si="0"/>
        <v>0</v>
      </c>
    </row>
    <row r="12" spans="1:3">
      <c r="A12" s="1">
        <v>1010</v>
      </c>
      <c r="B12" s="1" t="s">
        <v>22</v>
      </c>
      <c r="C12">
        <f t="shared" si="0"/>
        <v>0</v>
      </c>
    </row>
    <row r="13" spans="1:3">
      <c r="A13" s="1">
        <v>1011</v>
      </c>
      <c r="B13" s="1" t="s">
        <v>22</v>
      </c>
      <c r="C13">
        <f t="shared" si="0"/>
        <v>0</v>
      </c>
    </row>
    <row r="14" spans="1:3">
      <c r="A14" s="1">
        <v>1012</v>
      </c>
      <c r="B14" s="1" t="s">
        <v>22</v>
      </c>
      <c r="C14">
        <f t="shared" si="0"/>
        <v>0</v>
      </c>
    </row>
    <row r="15" spans="1:3">
      <c r="A15" s="1">
        <v>1013</v>
      </c>
      <c r="B15" s="1" t="s">
        <v>22</v>
      </c>
      <c r="C15">
        <f t="shared" si="0"/>
        <v>0</v>
      </c>
    </row>
    <row r="16" spans="1:3">
      <c r="A16" s="1">
        <v>1014</v>
      </c>
      <c r="B16" s="1" t="s">
        <v>22</v>
      </c>
      <c r="C16">
        <f t="shared" si="0"/>
        <v>0</v>
      </c>
    </row>
    <row r="17" spans="1:3">
      <c r="A17" s="1">
        <v>1015</v>
      </c>
      <c r="B17" s="1" t="s">
        <v>22</v>
      </c>
      <c r="C17">
        <f t="shared" si="0"/>
        <v>0</v>
      </c>
    </row>
    <row r="18" spans="1:3">
      <c r="A18" s="1">
        <v>1016</v>
      </c>
      <c r="B18" s="1" t="s">
        <v>22</v>
      </c>
      <c r="C18">
        <f t="shared" si="0"/>
        <v>0</v>
      </c>
    </row>
    <row r="19" spans="1:3">
      <c r="A19" s="1">
        <v>1017</v>
      </c>
      <c r="B19" s="1" t="s">
        <v>27</v>
      </c>
      <c r="C19">
        <f t="shared" si="0"/>
        <v>1</v>
      </c>
    </row>
    <row r="20" spans="1:3">
      <c r="A20" s="1">
        <v>1018</v>
      </c>
      <c r="B20" s="1" t="s">
        <v>22</v>
      </c>
      <c r="C20">
        <f t="shared" si="0"/>
        <v>0</v>
      </c>
    </row>
    <row r="21" spans="1:3">
      <c r="A21" s="1">
        <v>1019</v>
      </c>
      <c r="B21" s="1" t="s">
        <v>27</v>
      </c>
      <c r="C21">
        <f t="shared" si="0"/>
        <v>1</v>
      </c>
    </row>
    <row r="22" spans="1:3">
      <c r="A22" s="1">
        <v>1020</v>
      </c>
      <c r="B22" s="1" t="s">
        <v>22</v>
      </c>
      <c r="C22">
        <f t="shared" si="0"/>
        <v>0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5F49-39B6-4D86-B454-C59C550B5298}">
  <dimension ref="A1:C22"/>
  <sheetViews>
    <sheetView workbookViewId="0">
      <selection activeCell="D6" sqref="D6"/>
    </sheetView>
  </sheetViews>
  <sheetFormatPr defaultRowHeight="14.45"/>
  <cols>
    <col min="1" max="1" width="13.140625" customWidth="1"/>
    <col min="2" max="2" width="15" customWidth="1"/>
    <col min="3" max="3" width="13.7109375" bestFit="1" customWidth="1"/>
  </cols>
  <sheetData>
    <row r="1" spans="1:3" ht="15.6">
      <c r="A1" s="19" t="s">
        <v>68</v>
      </c>
      <c r="B1" s="19"/>
      <c r="C1" s="19"/>
    </row>
    <row r="2" spans="1:3">
      <c r="A2" s="2" t="s">
        <v>6</v>
      </c>
      <c r="B2" s="2" t="s">
        <v>11</v>
      </c>
      <c r="C2" s="6" t="s">
        <v>69</v>
      </c>
    </row>
    <row r="3" spans="1:3">
      <c r="A3" s="1">
        <v>1001</v>
      </c>
      <c r="B3" s="1">
        <v>77260</v>
      </c>
      <c r="C3">
        <f>B3*12</f>
        <v>927120</v>
      </c>
    </row>
    <row r="4" spans="1:3">
      <c r="A4" s="1">
        <v>1002</v>
      </c>
      <c r="B4" s="1">
        <v>30438</v>
      </c>
      <c r="C4">
        <f t="shared" ref="C4:C22" si="0">B4*12</f>
        <v>365256</v>
      </c>
    </row>
    <row r="5" spans="1:3">
      <c r="A5" s="1">
        <v>1003</v>
      </c>
      <c r="B5" s="1">
        <v>63442</v>
      </c>
      <c r="C5">
        <f t="shared" si="0"/>
        <v>761304</v>
      </c>
    </row>
    <row r="6" spans="1:3">
      <c r="A6" s="1">
        <v>1004</v>
      </c>
      <c r="B6" s="1">
        <v>118061</v>
      </c>
      <c r="C6">
        <f t="shared" si="0"/>
        <v>1416732</v>
      </c>
    </row>
    <row r="7" spans="1:3">
      <c r="A7" s="1">
        <v>1005</v>
      </c>
      <c r="B7" s="1">
        <v>17994</v>
      </c>
      <c r="C7">
        <f t="shared" si="0"/>
        <v>215928</v>
      </c>
    </row>
    <row r="8" spans="1:3">
      <c r="A8" s="1">
        <v>1006</v>
      </c>
      <c r="B8" s="1">
        <v>114575</v>
      </c>
      <c r="C8">
        <f t="shared" si="0"/>
        <v>1374900</v>
      </c>
    </row>
    <row r="9" spans="1:3">
      <c r="A9" s="1">
        <v>1007</v>
      </c>
      <c r="B9" s="1">
        <v>16813</v>
      </c>
      <c r="C9">
        <f t="shared" si="0"/>
        <v>201756</v>
      </c>
    </row>
    <row r="10" spans="1:3">
      <c r="A10" s="1">
        <v>1008</v>
      </c>
      <c r="B10" s="1">
        <v>108027</v>
      </c>
      <c r="C10">
        <f t="shared" si="0"/>
        <v>1296324</v>
      </c>
    </row>
    <row r="11" spans="1:3">
      <c r="A11" s="1">
        <v>1009</v>
      </c>
      <c r="B11" s="1">
        <v>99381</v>
      </c>
      <c r="C11">
        <f t="shared" si="0"/>
        <v>1192572</v>
      </c>
    </row>
    <row r="12" spans="1:3">
      <c r="A12" s="1">
        <v>1010</v>
      </c>
      <c r="B12" s="1">
        <v>70276</v>
      </c>
      <c r="C12">
        <f t="shared" si="0"/>
        <v>843312</v>
      </c>
    </row>
    <row r="13" spans="1:3">
      <c r="A13" s="1">
        <v>1011</v>
      </c>
      <c r="B13" s="1">
        <v>56243</v>
      </c>
      <c r="C13">
        <f t="shared" si="0"/>
        <v>674916</v>
      </c>
    </row>
    <row r="14" spans="1:3">
      <c r="A14" s="1">
        <v>1012</v>
      </c>
      <c r="B14" s="1">
        <v>77912</v>
      </c>
      <c r="C14">
        <f t="shared" si="0"/>
        <v>934944</v>
      </c>
    </row>
    <row r="15" spans="1:3">
      <c r="A15" s="1">
        <v>1013</v>
      </c>
      <c r="B15" s="1">
        <v>75272</v>
      </c>
      <c r="C15">
        <f t="shared" si="0"/>
        <v>903264</v>
      </c>
    </row>
    <row r="16" spans="1:3">
      <c r="A16" s="1">
        <v>1014</v>
      </c>
      <c r="B16" s="1">
        <v>117700</v>
      </c>
      <c r="C16">
        <f t="shared" si="0"/>
        <v>1412400</v>
      </c>
    </row>
    <row r="17" spans="1:3">
      <c r="A17" s="1">
        <v>1015</v>
      </c>
      <c r="B17" s="1">
        <v>57051</v>
      </c>
      <c r="C17">
        <f t="shared" si="0"/>
        <v>684612</v>
      </c>
    </row>
    <row r="18" spans="1:3">
      <c r="A18" s="1">
        <v>1016</v>
      </c>
      <c r="B18" s="1">
        <v>84711</v>
      </c>
      <c r="C18">
        <f t="shared" si="0"/>
        <v>1016532</v>
      </c>
    </row>
    <row r="19" spans="1:3">
      <c r="A19" s="1">
        <v>1017</v>
      </c>
      <c r="B19" s="1">
        <v>28543</v>
      </c>
      <c r="C19">
        <f t="shared" si="0"/>
        <v>342516</v>
      </c>
    </row>
    <row r="20" spans="1:3">
      <c r="A20" s="1">
        <v>1018</v>
      </c>
      <c r="B20" s="1">
        <v>69412</v>
      </c>
      <c r="C20">
        <f t="shared" si="0"/>
        <v>832944</v>
      </c>
    </row>
    <row r="21" spans="1:3">
      <c r="A21" s="1">
        <v>1019</v>
      </c>
      <c r="B21" s="1">
        <v>45122</v>
      </c>
      <c r="C21">
        <f t="shared" si="0"/>
        <v>541464</v>
      </c>
    </row>
    <row r="22" spans="1:3">
      <c r="A22" s="1">
        <v>1020</v>
      </c>
      <c r="B22" s="1">
        <v>38991</v>
      </c>
      <c r="C22">
        <f t="shared" si="0"/>
        <v>467892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5F7C-3111-4EB4-B2E9-CEEE44A3E317}">
  <dimension ref="A1:C22"/>
  <sheetViews>
    <sheetView workbookViewId="0">
      <selection activeCell="G24" sqref="G24"/>
    </sheetView>
  </sheetViews>
  <sheetFormatPr defaultRowHeight="14.45"/>
  <cols>
    <col min="1" max="1" width="13" customWidth="1"/>
    <col min="2" max="2" width="17.7109375" customWidth="1"/>
    <col min="3" max="3" width="12" bestFit="1" customWidth="1"/>
  </cols>
  <sheetData>
    <row r="1" spans="1:3" ht="15.6">
      <c r="A1" s="20" t="s">
        <v>70</v>
      </c>
      <c r="B1" s="20"/>
      <c r="C1" s="20"/>
    </row>
    <row r="2" spans="1:3">
      <c r="A2" s="2" t="s">
        <v>6</v>
      </c>
      <c r="B2" s="2" t="s">
        <v>12</v>
      </c>
      <c r="C2" s="2" t="s">
        <v>71</v>
      </c>
    </row>
    <row r="3" spans="1:3">
      <c r="A3" s="1">
        <v>1001</v>
      </c>
      <c r="B3" s="1">
        <v>16</v>
      </c>
      <c r="C3" s="1" t="str">
        <f>IF(B3&lt;=5,"New",IF(B3&lt;=10,"Mid","Senior"))</f>
        <v>Senior</v>
      </c>
    </row>
    <row r="4" spans="1:3">
      <c r="A4" s="1">
        <v>1002</v>
      </c>
      <c r="B4" s="1">
        <v>20</v>
      </c>
      <c r="C4" s="1" t="str">
        <f t="shared" ref="C4:C22" si="0">IF(B4&lt;=5,"New",IF(B4&lt;=10,"Mid","Senior"))</f>
        <v>Senior</v>
      </c>
    </row>
    <row r="5" spans="1:3">
      <c r="A5" s="1">
        <v>1003</v>
      </c>
      <c r="B5" s="1">
        <v>18</v>
      </c>
      <c r="C5" s="1" t="str">
        <f t="shared" si="0"/>
        <v>Senior</v>
      </c>
    </row>
    <row r="6" spans="1:3">
      <c r="A6" s="1">
        <v>1004</v>
      </c>
      <c r="B6" s="1">
        <v>1</v>
      </c>
      <c r="C6" s="1" t="str">
        <f t="shared" si="0"/>
        <v>New</v>
      </c>
    </row>
    <row r="7" spans="1:3">
      <c r="A7" s="1">
        <v>1005</v>
      </c>
      <c r="B7" s="1">
        <v>7</v>
      </c>
      <c r="C7" s="1" t="str">
        <f t="shared" si="0"/>
        <v>Mid</v>
      </c>
    </row>
    <row r="8" spans="1:3">
      <c r="A8" s="1">
        <v>1006</v>
      </c>
      <c r="B8" s="1">
        <v>9</v>
      </c>
      <c r="C8" s="1" t="str">
        <f t="shared" si="0"/>
        <v>Mid</v>
      </c>
    </row>
    <row r="9" spans="1:3">
      <c r="A9" s="1">
        <v>1007</v>
      </c>
      <c r="B9" s="1">
        <v>3</v>
      </c>
      <c r="C9" s="1" t="str">
        <f t="shared" si="0"/>
        <v>New</v>
      </c>
    </row>
    <row r="10" spans="1:3">
      <c r="A10" s="1">
        <v>1008</v>
      </c>
      <c r="B10" s="1">
        <v>11</v>
      </c>
      <c r="C10" s="1" t="str">
        <f t="shared" si="0"/>
        <v>Senior</v>
      </c>
    </row>
    <row r="11" spans="1:3">
      <c r="A11" s="1">
        <v>1009</v>
      </c>
      <c r="B11" s="1">
        <v>10</v>
      </c>
      <c r="C11" s="1" t="str">
        <f t="shared" si="0"/>
        <v>Mid</v>
      </c>
    </row>
    <row r="12" spans="1:3">
      <c r="A12" s="1">
        <v>1010</v>
      </c>
      <c r="B12" s="1">
        <v>6</v>
      </c>
      <c r="C12" s="1" t="str">
        <f t="shared" si="0"/>
        <v>Mid</v>
      </c>
    </row>
    <row r="13" spans="1:3">
      <c r="A13" s="1">
        <v>1011</v>
      </c>
      <c r="B13" s="1">
        <v>12</v>
      </c>
      <c r="C13" s="1" t="str">
        <f t="shared" si="0"/>
        <v>Senior</v>
      </c>
    </row>
    <row r="14" spans="1:3">
      <c r="A14" s="1">
        <v>1012</v>
      </c>
      <c r="B14" s="1">
        <v>21</v>
      </c>
      <c r="C14" s="1" t="str">
        <f t="shared" si="0"/>
        <v>Senior</v>
      </c>
    </row>
    <row r="15" spans="1:3">
      <c r="A15" s="1">
        <v>1013</v>
      </c>
      <c r="B15" s="1">
        <v>24</v>
      </c>
      <c r="C15" s="1" t="str">
        <f t="shared" si="0"/>
        <v>Senior</v>
      </c>
    </row>
    <row r="16" spans="1:3">
      <c r="A16" s="1">
        <v>1014</v>
      </c>
      <c r="B16" s="1">
        <v>15</v>
      </c>
      <c r="C16" s="1" t="str">
        <f t="shared" si="0"/>
        <v>Senior</v>
      </c>
    </row>
    <row r="17" spans="1:3">
      <c r="A17" s="1">
        <v>1015</v>
      </c>
      <c r="B17" s="1">
        <v>0</v>
      </c>
      <c r="C17" s="1" t="str">
        <f t="shared" si="0"/>
        <v>New</v>
      </c>
    </row>
    <row r="18" spans="1:3">
      <c r="A18" s="1">
        <v>1016</v>
      </c>
      <c r="B18" s="1">
        <v>19</v>
      </c>
      <c r="C18" s="1" t="str">
        <f t="shared" si="0"/>
        <v>Senior</v>
      </c>
    </row>
    <row r="19" spans="1:3">
      <c r="A19" s="1">
        <v>1017</v>
      </c>
      <c r="B19" s="1">
        <v>1</v>
      </c>
      <c r="C19" s="1" t="str">
        <f t="shared" si="0"/>
        <v>New</v>
      </c>
    </row>
    <row r="20" spans="1:3">
      <c r="A20" s="1">
        <v>1018</v>
      </c>
      <c r="B20" s="1">
        <v>7</v>
      </c>
      <c r="C20" s="1" t="str">
        <f t="shared" si="0"/>
        <v>Mid</v>
      </c>
    </row>
    <row r="21" spans="1:3">
      <c r="A21" s="1">
        <v>1019</v>
      </c>
      <c r="B21" s="1">
        <v>14</v>
      </c>
      <c r="C21" s="1" t="str">
        <f t="shared" si="0"/>
        <v>Senior</v>
      </c>
    </row>
    <row r="22" spans="1:3">
      <c r="A22" s="1">
        <v>1020</v>
      </c>
      <c r="B22" s="1">
        <v>5</v>
      </c>
      <c r="C22" s="1" t="str">
        <f t="shared" si="0"/>
        <v>New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7E15-D16F-4EBC-8237-E230DDA1ECFA}">
  <dimension ref="A1:D22"/>
  <sheetViews>
    <sheetView tabSelected="1" workbookViewId="0">
      <selection sqref="A1:D1"/>
    </sheetView>
  </sheetViews>
  <sheetFormatPr defaultRowHeight="14.45"/>
  <cols>
    <col min="1" max="1" width="14.28515625" customWidth="1"/>
    <col min="2" max="2" width="15.28515625" customWidth="1"/>
    <col min="3" max="3" width="19" customWidth="1"/>
    <col min="4" max="4" width="12.5703125" bestFit="1" customWidth="1"/>
  </cols>
  <sheetData>
    <row r="1" spans="1:4" ht="15.6">
      <c r="A1" s="21" t="s">
        <v>72</v>
      </c>
      <c r="B1" s="22"/>
      <c r="C1" s="22"/>
      <c r="D1" s="22"/>
    </row>
    <row r="2" spans="1:4">
      <c r="A2" s="2" t="s">
        <v>6</v>
      </c>
      <c r="B2" s="2" t="s">
        <v>12</v>
      </c>
      <c r="C2" s="2" t="s">
        <v>13</v>
      </c>
      <c r="D2" s="6" t="s">
        <v>73</v>
      </c>
    </row>
    <row r="3" spans="1:4">
      <c r="A3" s="1">
        <v>1001</v>
      </c>
      <c r="B3" s="1">
        <v>16</v>
      </c>
      <c r="C3" s="1">
        <v>1</v>
      </c>
      <c r="D3">
        <f>IF(B3=0,0,C3/B3)</f>
        <v>6.25E-2</v>
      </c>
    </row>
    <row r="4" spans="1:4">
      <c r="A4" s="1">
        <v>1002</v>
      </c>
      <c r="B4" s="1">
        <v>20</v>
      </c>
      <c r="C4" s="1">
        <v>11</v>
      </c>
      <c r="D4">
        <f t="shared" ref="D4:D22" si="0">IF(B4=0,0,C4/B4)</f>
        <v>0.55000000000000004</v>
      </c>
    </row>
    <row r="5" spans="1:4">
      <c r="A5" s="1">
        <v>1003</v>
      </c>
      <c r="B5" s="1">
        <v>18</v>
      </c>
      <c r="C5" s="1">
        <v>5</v>
      </c>
      <c r="D5">
        <f t="shared" si="0"/>
        <v>0.27777777777777779</v>
      </c>
    </row>
    <row r="6" spans="1:4">
      <c r="A6" s="1">
        <v>1004</v>
      </c>
      <c r="B6" s="1">
        <v>1</v>
      </c>
      <c r="C6" s="1">
        <v>4</v>
      </c>
      <c r="D6">
        <f t="shared" si="0"/>
        <v>4</v>
      </c>
    </row>
    <row r="7" spans="1:4">
      <c r="A7" s="1">
        <v>1005</v>
      </c>
      <c r="B7" s="1">
        <v>7</v>
      </c>
      <c r="C7" s="1">
        <v>9</v>
      </c>
      <c r="D7">
        <f t="shared" si="0"/>
        <v>1.2857142857142858</v>
      </c>
    </row>
    <row r="8" spans="1:4">
      <c r="A8" s="1">
        <v>1006</v>
      </c>
      <c r="B8" s="1">
        <v>9</v>
      </c>
      <c r="C8" s="1">
        <v>6</v>
      </c>
      <c r="D8">
        <f t="shared" si="0"/>
        <v>0.66666666666666663</v>
      </c>
    </row>
    <row r="9" spans="1:4">
      <c r="A9" s="1">
        <v>1007</v>
      </c>
      <c r="B9" s="1">
        <v>3</v>
      </c>
      <c r="C9" s="1">
        <v>5</v>
      </c>
      <c r="D9">
        <f t="shared" si="0"/>
        <v>1.6666666666666667</v>
      </c>
    </row>
    <row r="10" spans="1:4">
      <c r="A10" s="1">
        <v>1008</v>
      </c>
      <c r="B10" s="1">
        <v>11</v>
      </c>
      <c r="C10" s="1">
        <v>7</v>
      </c>
      <c r="D10">
        <f t="shared" si="0"/>
        <v>0.63636363636363635</v>
      </c>
    </row>
    <row r="11" spans="1:4">
      <c r="A11" s="1">
        <v>1009</v>
      </c>
      <c r="B11" s="1">
        <v>10</v>
      </c>
      <c r="C11" s="1">
        <v>2</v>
      </c>
      <c r="D11">
        <f t="shared" si="0"/>
        <v>0.2</v>
      </c>
    </row>
    <row r="12" spans="1:4">
      <c r="A12" s="1">
        <v>1010</v>
      </c>
      <c r="B12" s="1">
        <v>6</v>
      </c>
      <c r="C12" s="1">
        <v>3</v>
      </c>
      <c r="D12">
        <f t="shared" si="0"/>
        <v>0.5</v>
      </c>
    </row>
    <row r="13" spans="1:4">
      <c r="A13" s="1">
        <v>1011</v>
      </c>
      <c r="B13" s="1">
        <v>12</v>
      </c>
      <c r="C13" s="1">
        <v>4</v>
      </c>
      <c r="D13">
        <f t="shared" si="0"/>
        <v>0.33333333333333331</v>
      </c>
    </row>
    <row r="14" spans="1:4">
      <c r="A14" s="1">
        <v>1012</v>
      </c>
      <c r="B14" s="1">
        <v>21</v>
      </c>
      <c r="C14" s="1">
        <v>6</v>
      </c>
      <c r="D14">
        <f t="shared" si="0"/>
        <v>0.2857142857142857</v>
      </c>
    </row>
    <row r="15" spans="1:4">
      <c r="A15" s="1">
        <v>1013</v>
      </c>
      <c r="B15" s="1">
        <v>24</v>
      </c>
      <c r="C15" s="1">
        <v>3</v>
      </c>
      <c r="D15">
        <f t="shared" si="0"/>
        <v>0.125</v>
      </c>
    </row>
    <row r="16" spans="1:4">
      <c r="A16" s="1">
        <v>1014</v>
      </c>
      <c r="B16" s="1">
        <v>15</v>
      </c>
      <c r="C16" s="1">
        <v>5</v>
      </c>
      <c r="D16">
        <f t="shared" si="0"/>
        <v>0.33333333333333331</v>
      </c>
    </row>
    <row r="17" spans="1:4">
      <c r="A17" s="1">
        <v>1015</v>
      </c>
      <c r="B17" s="1">
        <v>0</v>
      </c>
      <c r="C17" s="1">
        <v>0</v>
      </c>
      <c r="D17">
        <f t="shared" si="0"/>
        <v>0</v>
      </c>
    </row>
    <row r="18" spans="1:4">
      <c r="A18" s="1">
        <v>1016</v>
      </c>
      <c r="B18" s="1">
        <v>19</v>
      </c>
      <c r="C18" s="1">
        <v>8</v>
      </c>
      <c r="D18">
        <f t="shared" si="0"/>
        <v>0.42105263157894735</v>
      </c>
    </row>
    <row r="19" spans="1:4">
      <c r="A19" s="1">
        <v>1017</v>
      </c>
      <c r="B19" s="1">
        <v>1</v>
      </c>
      <c r="C19" s="1">
        <v>1</v>
      </c>
      <c r="D19">
        <f t="shared" si="0"/>
        <v>1</v>
      </c>
    </row>
    <row r="20" spans="1:4">
      <c r="A20" s="1">
        <v>1018</v>
      </c>
      <c r="B20" s="1">
        <v>7</v>
      </c>
      <c r="C20" s="1">
        <v>3</v>
      </c>
      <c r="D20">
        <f t="shared" si="0"/>
        <v>0.42857142857142855</v>
      </c>
    </row>
    <row r="21" spans="1:4">
      <c r="A21" s="1">
        <v>1019</v>
      </c>
      <c r="B21" s="1">
        <v>14</v>
      </c>
      <c r="C21" s="1">
        <v>6</v>
      </c>
      <c r="D21">
        <f t="shared" si="0"/>
        <v>0.42857142857142855</v>
      </c>
    </row>
    <row r="22" spans="1:4">
      <c r="A22" s="1">
        <v>1020</v>
      </c>
      <c r="B22" s="1">
        <v>5</v>
      </c>
      <c r="C22" s="1">
        <v>2</v>
      </c>
      <c r="D22">
        <f t="shared" si="0"/>
        <v>0.4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4495-DBB4-4DF6-B807-81A595C63722}">
  <dimension ref="A1:R39"/>
  <sheetViews>
    <sheetView workbookViewId="0"/>
  </sheetViews>
  <sheetFormatPr defaultRowHeight="14.45"/>
  <cols>
    <col min="1" max="1" width="11" customWidth="1"/>
    <col min="2" max="2" width="16" customWidth="1"/>
    <col min="3" max="3" width="16.5703125" customWidth="1"/>
    <col min="4" max="4" width="15.28515625" customWidth="1"/>
    <col min="5" max="5" width="17.42578125" customWidth="1"/>
    <col min="6" max="6" width="14.42578125" customWidth="1"/>
    <col min="7" max="7" width="22" customWidth="1"/>
    <col min="8" max="8" width="19.140625" customWidth="1"/>
    <col min="9" max="9" width="15.42578125" customWidth="1"/>
    <col min="10" max="10" width="18" customWidth="1"/>
    <col min="11" max="11" width="16.85546875" customWidth="1"/>
    <col min="12" max="12" width="20.42578125" customWidth="1"/>
    <col min="13" max="13" width="15.140625" customWidth="1"/>
    <col min="14" max="14" width="17.42578125" customWidth="1"/>
    <col min="15" max="15" width="10.7109375" customWidth="1"/>
    <col min="16" max="16" width="20.28515625" customWidth="1"/>
    <col min="17" max="17" width="9.7109375" customWidth="1"/>
  </cols>
  <sheetData>
    <row r="1" spans="1:18" ht="20.25" customHeight="1">
      <c r="A1" s="8" t="s">
        <v>6</v>
      </c>
      <c r="B1" s="2" t="s">
        <v>7</v>
      </c>
      <c r="C1" s="2" t="s">
        <v>11</v>
      </c>
      <c r="D1" s="2" t="s">
        <v>12</v>
      </c>
      <c r="E1" s="2" t="s">
        <v>14</v>
      </c>
      <c r="F1" s="2" t="s">
        <v>15</v>
      </c>
      <c r="G1" s="8" t="s">
        <v>16</v>
      </c>
      <c r="H1" s="8" t="s">
        <v>74</v>
      </c>
      <c r="I1" s="10" t="s">
        <v>75</v>
      </c>
      <c r="J1" s="11" t="s">
        <v>76</v>
      </c>
      <c r="K1" s="2"/>
      <c r="L1" s="2"/>
      <c r="M1" s="2"/>
      <c r="N1" s="6"/>
      <c r="O1" s="6"/>
      <c r="P1" s="6"/>
    </row>
    <row r="2" spans="1:18">
      <c r="A2" s="1">
        <v>1001</v>
      </c>
      <c r="B2" s="1">
        <v>58</v>
      </c>
      <c r="C2" s="1">
        <v>77260</v>
      </c>
      <c r="D2" s="1">
        <v>16</v>
      </c>
      <c r="E2" s="1">
        <v>2</v>
      </c>
      <c r="F2" s="1">
        <v>4</v>
      </c>
      <c r="G2" s="1">
        <v>3</v>
      </c>
      <c r="H2" s="9">
        <v>0</v>
      </c>
      <c r="I2" s="1">
        <v>0</v>
      </c>
      <c r="J2" s="1">
        <f>IF(M2="IT",1,0)</f>
        <v>0</v>
      </c>
      <c r="K2" s="1"/>
      <c r="L2" s="1"/>
      <c r="M2" s="1"/>
      <c r="N2" s="1"/>
      <c r="O2" s="1"/>
      <c r="P2" s="1"/>
      <c r="Q2" s="2"/>
      <c r="R2" s="2"/>
    </row>
    <row r="3" spans="1:18">
      <c r="A3" s="1">
        <v>1002</v>
      </c>
      <c r="B3" s="1">
        <v>48</v>
      </c>
      <c r="C3" s="1">
        <v>30438</v>
      </c>
      <c r="D3" s="1">
        <v>20</v>
      </c>
      <c r="E3" s="1">
        <v>3</v>
      </c>
      <c r="F3" s="1">
        <v>1</v>
      </c>
      <c r="G3" s="1">
        <v>4</v>
      </c>
      <c r="H3" s="9">
        <v>0</v>
      </c>
      <c r="I3" s="1">
        <v>0</v>
      </c>
      <c r="J3" s="1">
        <f t="shared" ref="J3:J21" si="0">IF(M3="IT",1,0)</f>
        <v>0</v>
      </c>
      <c r="K3" s="1"/>
      <c r="L3" s="1"/>
      <c r="M3" s="1"/>
      <c r="N3" s="1"/>
      <c r="O3" s="1"/>
      <c r="P3" s="1"/>
      <c r="Q3" s="1"/>
      <c r="R3" s="1"/>
    </row>
    <row r="4" spans="1:18">
      <c r="A4" s="1">
        <v>1003</v>
      </c>
      <c r="B4" s="1">
        <v>34</v>
      </c>
      <c r="C4" s="1">
        <v>63442</v>
      </c>
      <c r="D4" s="1">
        <v>18</v>
      </c>
      <c r="E4" s="1">
        <v>3</v>
      </c>
      <c r="F4" s="1">
        <v>3</v>
      </c>
      <c r="G4" s="1">
        <v>3</v>
      </c>
      <c r="H4" s="9">
        <v>0</v>
      </c>
      <c r="I4" s="1">
        <v>0</v>
      </c>
      <c r="J4" s="1">
        <f t="shared" si="0"/>
        <v>0</v>
      </c>
      <c r="K4" s="1"/>
      <c r="L4" s="1"/>
      <c r="M4" s="1"/>
      <c r="N4" s="1"/>
      <c r="O4" s="1"/>
      <c r="P4" s="1"/>
      <c r="Q4" s="1"/>
      <c r="R4" s="1"/>
    </row>
    <row r="5" spans="1:18">
      <c r="A5" s="1">
        <v>1004</v>
      </c>
      <c r="B5" s="1">
        <v>27</v>
      </c>
      <c r="C5" s="1">
        <v>118061</v>
      </c>
      <c r="D5" s="1">
        <v>1</v>
      </c>
      <c r="E5" s="1">
        <v>3</v>
      </c>
      <c r="F5" s="1">
        <v>4</v>
      </c>
      <c r="G5" s="1">
        <v>3</v>
      </c>
      <c r="H5" s="9">
        <v>0</v>
      </c>
      <c r="I5" s="1">
        <v>0</v>
      </c>
      <c r="J5" s="1">
        <f t="shared" si="0"/>
        <v>0</v>
      </c>
      <c r="K5" s="1"/>
      <c r="L5" s="1"/>
      <c r="M5" s="1"/>
      <c r="N5" s="1"/>
      <c r="O5" s="1"/>
      <c r="P5" s="1"/>
      <c r="Q5" s="1"/>
      <c r="R5" s="1"/>
    </row>
    <row r="6" spans="1:18">
      <c r="A6" s="1">
        <v>1005</v>
      </c>
      <c r="B6" s="1">
        <v>40</v>
      </c>
      <c r="C6" s="1">
        <v>17994</v>
      </c>
      <c r="D6" s="1">
        <v>7</v>
      </c>
      <c r="E6" s="1">
        <v>2</v>
      </c>
      <c r="F6" s="1">
        <v>4</v>
      </c>
      <c r="G6" s="1">
        <v>4</v>
      </c>
      <c r="H6" s="9">
        <v>1</v>
      </c>
      <c r="I6" s="1">
        <v>1</v>
      </c>
      <c r="J6" s="1">
        <f t="shared" si="0"/>
        <v>0</v>
      </c>
      <c r="K6" s="1"/>
      <c r="L6" s="1"/>
      <c r="M6" s="1"/>
      <c r="N6" s="1"/>
      <c r="O6" s="1"/>
      <c r="P6" s="1"/>
      <c r="Q6" s="1"/>
      <c r="R6" s="1"/>
    </row>
    <row r="7" spans="1:18">
      <c r="A7" s="1">
        <v>1006</v>
      </c>
      <c r="B7" s="1">
        <v>58</v>
      </c>
      <c r="C7" s="1">
        <v>114575</v>
      </c>
      <c r="D7" s="1">
        <v>9</v>
      </c>
      <c r="E7" s="1">
        <v>4</v>
      </c>
      <c r="F7" s="1">
        <v>3</v>
      </c>
      <c r="G7" s="1">
        <v>3</v>
      </c>
      <c r="H7" s="9">
        <v>1</v>
      </c>
      <c r="I7" s="1">
        <v>0</v>
      </c>
      <c r="J7" s="1">
        <f t="shared" si="0"/>
        <v>0</v>
      </c>
      <c r="K7" s="1"/>
      <c r="L7" s="1"/>
      <c r="M7" s="1"/>
      <c r="N7" s="1"/>
      <c r="O7" s="1"/>
      <c r="P7" s="1"/>
      <c r="Q7" s="1"/>
      <c r="R7" s="1"/>
    </row>
    <row r="8" spans="1:18">
      <c r="A8" s="1">
        <v>1007</v>
      </c>
      <c r="B8" s="1">
        <v>38</v>
      </c>
      <c r="C8" s="1">
        <v>16813</v>
      </c>
      <c r="D8" s="1">
        <v>3</v>
      </c>
      <c r="E8" s="1">
        <v>2</v>
      </c>
      <c r="F8" s="1">
        <v>3</v>
      </c>
      <c r="G8" s="1">
        <v>3</v>
      </c>
      <c r="H8" s="9">
        <v>0</v>
      </c>
      <c r="I8" s="1">
        <v>0</v>
      </c>
      <c r="J8" s="1">
        <f t="shared" si="0"/>
        <v>0</v>
      </c>
      <c r="K8" s="1"/>
      <c r="L8" s="1"/>
      <c r="M8" s="1"/>
      <c r="N8" s="1"/>
      <c r="O8" s="1"/>
      <c r="P8" s="1"/>
      <c r="Q8" s="1"/>
      <c r="R8" s="1"/>
    </row>
    <row r="9" spans="1:18">
      <c r="A9" s="1">
        <v>1008</v>
      </c>
      <c r="B9" s="1">
        <v>42</v>
      </c>
      <c r="C9" s="1">
        <v>108027</v>
      </c>
      <c r="D9" s="1">
        <v>11</v>
      </c>
      <c r="E9" s="1">
        <v>4</v>
      </c>
      <c r="F9" s="1">
        <v>3</v>
      </c>
      <c r="G9" s="1">
        <v>3</v>
      </c>
      <c r="H9" s="9">
        <v>1</v>
      </c>
      <c r="I9" s="1">
        <v>0</v>
      </c>
      <c r="J9" s="1">
        <f t="shared" si="0"/>
        <v>0</v>
      </c>
      <c r="K9" s="1"/>
      <c r="L9" s="1"/>
      <c r="M9" s="1"/>
      <c r="N9" s="1"/>
      <c r="O9" s="1"/>
      <c r="P9" s="1"/>
      <c r="Q9" s="1"/>
      <c r="R9" s="1"/>
    </row>
    <row r="10" spans="1:18">
      <c r="A10" s="1">
        <v>1009</v>
      </c>
      <c r="B10" s="1">
        <v>30</v>
      </c>
      <c r="C10" s="1">
        <v>99381</v>
      </c>
      <c r="D10" s="1">
        <v>10</v>
      </c>
      <c r="E10" s="1">
        <v>3</v>
      </c>
      <c r="F10" s="1">
        <v>3</v>
      </c>
      <c r="G10" s="1">
        <v>3</v>
      </c>
      <c r="H10" s="9">
        <v>0</v>
      </c>
      <c r="I10" s="1">
        <v>0</v>
      </c>
      <c r="J10" s="1">
        <f t="shared" si="0"/>
        <v>0</v>
      </c>
      <c r="K10" s="1"/>
      <c r="L10" s="1"/>
      <c r="M10" s="1"/>
      <c r="N10" s="1"/>
      <c r="O10" s="1"/>
      <c r="P10" s="1"/>
      <c r="Q10" s="1"/>
      <c r="R10" s="1"/>
    </row>
    <row r="11" spans="1:18">
      <c r="A11" s="1">
        <v>1010</v>
      </c>
      <c r="B11" s="1">
        <v>30</v>
      </c>
      <c r="C11" s="1">
        <v>70276</v>
      </c>
      <c r="D11" s="1">
        <v>6</v>
      </c>
      <c r="E11" s="1">
        <v>3</v>
      </c>
      <c r="F11" s="1">
        <v>3</v>
      </c>
      <c r="G11" s="1">
        <v>3</v>
      </c>
      <c r="H11" s="9">
        <v>1</v>
      </c>
      <c r="I11" s="1">
        <v>0</v>
      </c>
      <c r="J11" s="1">
        <f t="shared" si="0"/>
        <v>0</v>
      </c>
      <c r="K11" s="1"/>
      <c r="L11" s="1"/>
      <c r="M11" s="1"/>
      <c r="N11" s="1"/>
      <c r="O11" s="1"/>
      <c r="P11" s="1"/>
      <c r="Q11" s="1"/>
      <c r="R11" s="1"/>
    </row>
    <row r="12" spans="1:18">
      <c r="A12" s="1">
        <v>1011</v>
      </c>
      <c r="B12" s="1">
        <v>43</v>
      </c>
      <c r="C12" s="1">
        <v>56243</v>
      </c>
      <c r="D12" s="1">
        <v>12</v>
      </c>
      <c r="E12" s="1">
        <v>3</v>
      </c>
      <c r="F12" s="1">
        <v>3</v>
      </c>
      <c r="G12" s="1">
        <v>3</v>
      </c>
      <c r="H12" s="9">
        <v>0</v>
      </c>
      <c r="I12" s="1">
        <v>0</v>
      </c>
      <c r="J12" s="1">
        <f t="shared" si="0"/>
        <v>0</v>
      </c>
      <c r="K12" s="1"/>
      <c r="L12" s="1"/>
      <c r="M12" s="1"/>
      <c r="N12" s="1"/>
      <c r="O12" s="1"/>
      <c r="P12" s="1"/>
      <c r="Q12" s="1"/>
      <c r="R12" s="1"/>
    </row>
    <row r="13" spans="1:18">
      <c r="A13" s="1">
        <v>1012</v>
      </c>
      <c r="B13" s="1">
        <v>55</v>
      </c>
      <c r="C13" s="1">
        <v>77912</v>
      </c>
      <c r="D13" s="1">
        <v>21</v>
      </c>
      <c r="E13" s="1">
        <v>4</v>
      </c>
      <c r="F13" s="1">
        <v>4</v>
      </c>
      <c r="G13" s="1">
        <v>4</v>
      </c>
      <c r="H13" s="9">
        <v>0</v>
      </c>
      <c r="I13" s="1">
        <v>0</v>
      </c>
      <c r="J13" s="1">
        <f t="shared" si="0"/>
        <v>0</v>
      </c>
      <c r="K13" s="1"/>
      <c r="L13" s="1"/>
      <c r="M13" s="1"/>
      <c r="N13" s="1"/>
      <c r="O13" s="1"/>
      <c r="P13" s="1"/>
      <c r="Q13" s="1"/>
      <c r="R13" s="1"/>
    </row>
    <row r="14" spans="1:18">
      <c r="A14" s="1">
        <v>1013</v>
      </c>
      <c r="B14" s="1">
        <v>59</v>
      </c>
      <c r="C14" s="1">
        <v>75272</v>
      </c>
      <c r="D14" s="1">
        <v>24</v>
      </c>
      <c r="E14" s="1">
        <v>3</v>
      </c>
      <c r="F14" s="1">
        <v>3</v>
      </c>
      <c r="G14" s="1">
        <v>3</v>
      </c>
      <c r="H14" s="9">
        <v>0</v>
      </c>
      <c r="I14" s="1">
        <v>0</v>
      </c>
      <c r="J14" s="1">
        <f t="shared" si="0"/>
        <v>0</v>
      </c>
      <c r="K14" s="1"/>
      <c r="L14" s="1"/>
      <c r="M14" s="1"/>
      <c r="N14" s="1"/>
      <c r="O14" s="1"/>
      <c r="P14" s="1"/>
      <c r="Q14" s="1"/>
      <c r="R14" s="1"/>
    </row>
    <row r="15" spans="1:18">
      <c r="A15" s="1">
        <v>1014</v>
      </c>
      <c r="B15" s="1">
        <v>43</v>
      </c>
      <c r="C15" s="1">
        <v>117700</v>
      </c>
      <c r="D15" s="1">
        <v>15</v>
      </c>
      <c r="E15" s="1">
        <v>4</v>
      </c>
      <c r="F15" s="1">
        <v>3</v>
      </c>
      <c r="G15" s="1">
        <v>3</v>
      </c>
      <c r="H15" s="9">
        <v>0</v>
      </c>
      <c r="I15" s="1">
        <v>0</v>
      </c>
      <c r="J15" s="1">
        <f t="shared" si="0"/>
        <v>0</v>
      </c>
      <c r="K15" s="1"/>
      <c r="L15" s="1"/>
      <c r="M15" s="1"/>
      <c r="N15" s="1"/>
      <c r="O15" s="1"/>
      <c r="P15" s="1"/>
      <c r="Q15" s="1"/>
      <c r="R15" s="1"/>
    </row>
    <row r="16" spans="1:18">
      <c r="A16" s="1">
        <v>1015</v>
      </c>
      <c r="B16" s="1">
        <v>22</v>
      </c>
      <c r="C16" s="1">
        <v>57051</v>
      </c>
      <c r="D16" s="1">
        <v>0</v>
      </c>
      <c r="E16" s="1">
        <v>2</v>
      </c>
      <c r="F16" s="1">
        <v>2</v>
      </c>
      <c r="G16" s="1">
        <v>3</v>
      </c>
      <c r="H16" s="9">
        <v>1</v>
      </c>
      <c r="I16" s="1">
        <v>0</v>
      </c>
      <c r="J16" s="1">
        <f t="shared" si="0"/>
        <v>0</v>
      </c>
      <c r="K16" s="1"/>
      <c r="L16" s="1"/>
      <c r="M16" s="1"/>
      <c r="N16" s="1"/>
      <c r="O16" s="1"/>
      <c r="P16" s="1"/>
      <c r="Q16" s="1"/>
      <c r="R16" s="1"/>
    </row>
    <row r="17" spans="1:18">
      <c r="A17" s="1">
        <v>1016</v>
      </c>
      <c r="B17" s="1">
        <v>45</v>
      </c>
      <c r="C17" s="1">
        <v>84711</v>
      </c>
      <c r="D17" s="1">
        <v>19</v>
      </c>
      <c r="E17" s="1">
        <v>4</v>
      </c>
      <c r="F17" s="1">
        <v>4</v>
      </c>
      <c r="G17" s="1">
        <v>4</v>
      </c>
      <c r="H17" s="9">
        <v>0</v>
      </c>
      <c r="I17" s="1">
        <v>0</v>
      </c>
      <c r="J17" s="1">
        <f t="shared" si="0"/>
        <v>0</v>
      </c>
      <c r="K17" s="1"/>
      <c r="L17" s="1"/>
      <c r="M17" s="1"/>
      <c r="N17" s="1"/>
      <c r="O17" s="1"/>
      <c r="P17" s="1"/>
      <c r="Q17" s="1"/>
      <c r="R17" s="1"/>
    </row>
    <row r="18" spans="1:18">
      <c r="A18" s="1">
        <v>1017</v>
      </c>
      <c r="B18" s="1">
        <v>28</v>
      </c>
      <c r="C18" s="1">
        <v>28543</v>
      </c>
      <c r="D18" s="1">
        <v>1</v>
      </c>
      <c r="E18" s="1">
        <v>1</v>
      </c>
      <c r="F18" s="1">
        <v>2</v>
      </c>
      <c r="G18" s="1">
        <v>3</v>
      </c>
      <c r="H18" s="9">
        <v>1</v>
      </c>
      <c r="I18" s="1">
        <v>1</v>
      </c>
      <c r="J18" s="1">
        <f t="shared" si="0"/>
        <v>0</v>
      </c>
      <c r="K18" s="1"/>
      <c r="L18" s="1"/>
      <c r="M18" s="1"/>
      <c r="N18" s="1"/>
      <c r="O18" s="1"/>
      <c r="P18" s="1"/>
      <c r="Q18" s="1"/>
      <c r="R18" s="1"/>
    </row>
    <row r="19" spans="1:18">
      <c r="A19" s="1">
        <v>1018</v>
      </c>
      <c r="B19" s="1">
        <v>36</v>
      </c>
      <c r="C19" s="1">
        <v>69412</v>
      </c>
      <c r="D19" s="1">
        <v>7</v>
      </c>
      <c r="E19" s="1">
        <v>3</v>
      </c>
      <c r="F19" s="1">
        <v>3</v>
      </c>
      <c r="G19" s="1">
        <v>3</v>
      </c>
      <c r="H19" s="9">
        <v>0</v>
      </c>
      <c r="I19" s="1">
        <v>0</v>
      </c>
      <c r="J19" s="1">
        <f t="shared" si="0"/>
        <v>0</v>
      </c>
      <c r="K19" s="1"/>
      <c r="L19" s="1"/>
      <c r="M19" s="1"/>
      <c r="N19" s="1"/>
      <c r="O19" s="1"/>
      <c r="P19" s="1"/>
      <c r="Q19" s="1"/>
      <c r="R19" s="1"/>
    </row>
    <row r="20" spans="1:18">
      <c r="A20" s="1">
        <v>1019</v>
      </c>
      <c r="B20" s="1">
        <v>41</v>
      </c>
      <c r="C20" s="1">
        <v>45122</v>
      </c>
      <c r="D20" s="1">
        <v>14</v>
      </c>
      <c r="E20" s="1">
        <v>2</v>
      </c>
      <c r="F20" s="1">
        <v>3</v>
      </c>
      <c r="G20" s="1">
        <v>3</v>
      </c>
      <c r="H20" s="9">
        <v>0</v>
      </c>
      <c r="I20" s="1">
        <v>1</v>
      </c>
      <c r="J20" s="1">
        <f t="shared" si="0"/>
        <v>0</v>
      </c>
      <c r="K20" s="1"/>
      <c r="L20" s="1"/>
      <c r="M20" s="1"/>
      <c r="N20" s="1"/>
      <c r="O20" s="1"/>
      <c r="P20" s="1"/>
      <c r="Q20" s="1"/>
      <c r="R20" s="1"/>
    </row>
    <row r="21" spans="1:18">
      <c r="A21" s="1">
        <v>1020</v>
      </c>
      <c r="B21" s="1">
        <v>33</v>
      </c>
      <c r="C21" s="1">
        <v>38991</v>
      </c>
      <c r="D21" s="1">
        <v>5</v>
      </c>
      <c r="E21" s="1">
        <v>3</v>
      </c>
      <c r="F21" s="1">
        <v>3</v>
      </c>
      <c r="G21" s="1">
        <v>3</v>
      </c>
      <c r="H21" s="9">
        <v>0</v>
      </c>
      <c r="I21" s="1">
        <v>0</v>
      </c>
      <c r="J21" s="1">
        <f t="shared" si="0"/>
        <v>0</v>
      </c>
      <c r="K21" s="1"/>
      <c r="L21" s="1"/>
      <c r="M21" s="1"/>
      <c r="N21" s="1"/>
      <c r="O21" s="1"/>
      <c r="P21" s="1"/>
      <c r="Q21" s="1"/>
      <c r="R21" s="1"/>
    </row>
    <row r="22" spans="1:18">
      <c r="A22" s="1"/>
      <c r="B22" s="1"/>
      <c r="C22" s="1"/>
      <c r="D22" s="1"/>
      <c r="E22" s="1"/>
      <c r="F22" s="1"/>
      <c r="G22" s="1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C23" s="1"/>
      <c r="F23" s="1"/>
    </row>
    <row r="24" spans="1:18">
      <c r="C24" s="1"/>
      <c r="F24" s="1"/>
    </row>
    <row r="25" spans="1:18">
      <c r="C25" s="1"/>
      <c r="F25" s="1"/>
    </row>
    <row r="26" spans="1:18">
      <c r="C26" s="1"/>
      <c r="F26" s="1"/>
    </row>
    <row r="27" spans="1:18">
      <c r="C27" s="1"/>
      <c r="F27" s="1"/>
    </row>
    <row r="28" spans="1:18">
      <c r="C28" s="1"/>
      <c r="F28" s="1"/>
    </row>
    <row r="29" spans="1:18">
      <c r="C29" s="1"/>
      <c r="F29" s="1"/>
    </row>
    <row r="30" spans="1:18">
      <c r="C30" s="1"/>
      <c r="F30" s="1"/>
    </row>
    <row r="31" spans="1:18">
      <c r="C31" s="1"/>
      <c r="F31" s="1"/>
    </row>
    <row r="32" spans="1:18">
      <c r="C32" s="1"/>
      <c r="F32" s="1"/>
    </row>
    <row r="33" spans="3:6">
      <c r="C33" s="1"/>
      <c r="F33" s="1"/>
    </row>
    <row r="34" spans="3:6">
      <c r="C34" s="1"/>
      <c r="F34" s="1"/>
    </row>
    <row r="35" spans="3:6">
      <c r="C35" s="1"/>
      <c r="F35" s="1"/>
    </row>
    <row r="36" spans="3:6">
      <c r="C36" s="1"/>
      <c r="F36" s="1"/>
    </row>
    <row r="37" spans="3:6">
      <c r="C37" s="1"/>
      <c r="F37" s="1"/>
    </row>
    <row r="38" spans="3:6">
      <c r="C38" s="1"/>
      <c r="F38" s="1"/>
    </row>
    <row r="39" spans="3:6">
      <c r="C39" s="1"/>
      <c r="F39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9E1F-0055-465A-9186-C7DE947598B5}">
  <dimension ref="A1:C21"/>
  <sheetViews>
    <sheetView workbookViewId="0">
      <selection activeCell="D3" sqref="D3"/>
    </sheetView>
  </sheetViews>
  <sheetFormatPr defaultRowHeight="14.45"/>
  <cols>
    <col min="1" max="1" width="11.140625" bestFit="1" customWidth="1"/>
    <col min="2" max="2" width="17.7109375" bestFit="1" customWidth="1"/>
    <col min="3" max="3" width="9.85546875" bestFit="1" customWidth="1"/>
  </cols>
  <sheetData>
    <row r="1" spans="1:3">
      <c r="A1" s="2" t="s">
        <v>6</v>
      </c>
      <c r="B1" s="2" t="s">
        <v>77</v>
      </c>
      <c r="C1" s="2" t="s">
        <v>78</v>
      </c>
    </row>
    <row r="2" spans="1:3">
      <c r="A2" s="1">
        <v>1001</v>
      </c>
      <c r="B2" s="1">
        <v>19.5</v>
      </c>
      <c r="C2" s="1" t="s">
        <v>79</v>
      </c>
    </row>
    <row r="3" spans="1:3">
      <c r="A3" s="1">
        <v>1002</v>
      </c>
      <c r="B3" s="1">
        <v>27.5</v>
      </c>
      <c r="C3" s="1" t="s">
        <v>79</v>
      </c>
    </row>
    <row r="4" spans="1:3">
      <c r="A4" s="1">
        <v>1003</v>
      </c>
      <c r="B4" s="1">
        <v>0.5</v>
      </c>
      <c r="C4" s="1" t="s">
        <v>79</v>
      </c>
    </row>
    <row r="5" spans="1:3">
      <c r="A5" s="1">
        <v>1004</v>
      </c>
      <c r="B5" s="1">
        <v>1.5</v>
      </c>
      <c r="C5" s="1" t="s">
        <v>79</v>
      </c>
    </row>
    <row r="6" spans="1:3">
      <c r="A6" s="1">
        <v>1005</v>
      </c>
      <c r="B6" s="1">
        <v>75</v>
      </c>
      <c r="C6" s="1" t="s">
        <v>80</v>
      </c>
    </row>
    <row r="7" spans="1:3">
      <c r="A7" s="1">
        <v>1006</v>
      </c>
      <c r="B7" s="1">
        <v>1.5</v>
      </c>
      <c r="C7" s="1" t="s">
        <v>79</v>
      </c>
    </row>
    <row r="8" spans="1:3">
      <c r="A8" s="1">
        <v>1007</v>
      </c>
      <c r="B8" s="1">
        <v>30</v>
      </c>
      <c r="C8" s="1" t="s">
        <v>79</v>
      </c>
    </row>
    <row r="9" spans="1:3">
      <c r="A9" s="1">
        <v>1008</v>
      </c>
      <c r="B9" s="1">
        <v>1.5</v>
      </c>
      <c r="C9" s="1" t="s">
        <v>79</v>
      </c>
    </row>
    <row r="10" spans="1:3">
      <c r="A10" s="1">
        <v>1009</v>
      </c>
      <c r="B10" s="1">
        <v>0.5</v>
      </c>
      <c r="C10" s="1" t="s">
        <v>79</v>
      </c>
    </row>
    <row r="11" spans="1:3">
      <c r="A11" s="1">
        <v>1010</v>
      </c>
      <c r="B11" s="1">
        <v>2.5</v>
      </c>
      <c r="C11" s="1" t="s">
        <v>79</v>
      </c>
    </row>
    <row r="12" spans="1:3">
      <c r="A12" s="1">
        <v>1011</v>
      </c>
      <c r="B12" s="1">
        <v>0.5</v>
      </c>
      <c r="C12" s="1" t="s">
        <v>79</v>
      </c>
    </row>
    <row r="13" spans="1:3">
      <c r="A13" s="1">
        <v>1012</v>
      </c>
      <c r="B13" s="1">
        <v>2</v>
      </c>
      <c r="C13" s="1" t="s">
        <v>79</v>
      </c>
    </row>
    <row r="14" spans="1:3">
      <c r="A14" s="1">
        <v>1013</v>
      </c>
      <c r="B14" s="1">
        <v>0.5</v>
      </c>
      <c r="C14" s="1" t="s">
        <v>79</v>
      </c>
    </row>
    <row r="15" spans="1:3">
      <c r="A15" s="1">
        <v>1014</v>
      </c>
      <c r="B15" s="1">
        <v>0.5</v>
      </c>
      <c r="C15" s="1" t="s">
        <v>79</v>
      </c>
    </row>
    <row r="16" spans="1:3">
      <c r="A16" s="1">
        <v>1015</v>
      </c>
      <c r="B16" s="1">
        <v>16</v>
      </c>
      <c r="C16" s="1" t="s">
        <v>79</v>
      </c>
    </row>
    <row r="17" spans="1:3">
      <c r="A17" s="1">
        <v>1016</v>
      </c>
      <c r="B17" s="1">
        <v>5</v>
      </c>
      <c r="C17" s="1" t="s">
        <v>79</v>
      </c>
    </row>
    <row r="18" spans="1:3">
      <c r="A18" s="1">
        <v>1017</v>
      </c>
      <c r="B18" s="1">
        <v>70.5</v>
      </c>
      <c r="C18" s="1" t="s">
        <v>80</v>
      </c>
    </row>
    <row r="19" spans="1:3">
      <c r="A19" s="1">
        <v>1018</v>
      </c>
      <c r="B19" s="1">
        <v>11.5</v>
      </c>
      <c r="C19" s="1" t="s">
        <v>79</v>
      </c>
    </row>
    <row r="20" spans="1:3">
      <c r="A20" s="1">
        <v>1019</v>
      </c>
      <c r="B20" s="1">
        <v>68.5</v>
      </c>
      <c r="C20" s="1" t="s">
        <v>81</v>
      </c>
    </row>
    <row r="21" spans="1:3">
      <c r="A21" s="1">
        <v>1020</v>
      </c>
      <c r="B21" s="1">
        <v>15</v>
      </c>
      <c r="C21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azar shaik</cp:lastModifiedBy>
  <cp:revision/>
  <dcterms:created xsi:type="dcterms:W3CDTF">2025-12-20T04:10:46Z</dcterms:created>
  <dcterms:modified xsi:type="dcterms:W3CDTF">2025-12-21T06:15:39Z</dcterms:modified>
  <cp:category/>
  <cp:contentStatus/>
</cp:coreProperties>
</file>